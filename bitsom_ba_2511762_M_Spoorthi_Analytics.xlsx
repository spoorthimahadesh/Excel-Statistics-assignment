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714" documentId="8_{54E418F2-73BD-4755-98E6-570172F35BF5}" xr6:coauthVersionLast="47" xr6:coauthVersionMax="47" xr10:uidLastSave="{DF6C4585-C1DC-4908-91F5-1AAABC47BE6B}"/>
  <bookViews>
    <workbookView xWindow="-108" yWindow="-108" windowWidth="23256" windowHeight="12456" activeTab="3" xr2:uid="{E05BF4F5-14C1-4120-94E0-BCC17DA05811}"/>
  </bookViews>
  <sheets>
    <sheet name="Part1_Descriptive" sheetId="1" r:id="rId1"/>
    <sheet name="Part2_OneSample" sheetId="6" r:id="rId2"/>
    <sheet name="Part2_TwoSample" sheetId="5" r:id="rId3"/>
    <sheet name="Part4_Regression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5" l="1"/>
  <c r="D26" i="6"/>
  <c r="L46" i="1"/>
  <c r="L44" i="1"/>
  <c r="L42" i="1"/>
  <c r="J46" i="1"/>
  <c r="J44" i="1"/>
  <c r="J42" i="1"/>
  <c r="L24" i="1"/>
  <c r="L50" i="5"/>
  <c r="D22" i="6"/>
  <c r="M14" i="5"/>
  <c r="M22" i="5"/>
  <c r="M20" i="5"/>
  <c r="M16" i="5"/>
  <c r="D28" i="6"/>
  <c r="D24" i="6"/>
  <c r="L29" i="1"/>
  <c r="L28" i="1"/>
  <c r="L27" i="1"/>
  <c r="L26" i="1"/>
  <c r="L25" i="1"/>
  <c r="L31" i="1"/>
  <c r="K10" i="1"/>
  <c r="K9" i="1"/>
  <c r="K13" i="1"/>
  <c r="K12" i="1"/>
  <c r="K11" i="1"/>
</calcChain>
</file>

<file path=xl/sharedStrings.xml><?xml version="1.0" encoding="utf-8"?>
<sst xmlns="http://schemas.openxmlformats.org/spreadsheetml/2006/main" count="1401" uniqueCount="585">
  <si>
    <t>date</t>
  </si>
  <si>
    <t>avg_session_duration</t>
  </si>
  <si>
    <t>weekly_active_users</t>
  </si>
  <si>
    <t>daily_revenue</t>
  </si>
  <si>
    <t>Mean =</t>
  </si>
  <si>
    <t>Statistics</t>
  </si>
  <si>
    <t>Formula Used</t>
  </si>
  <si>
    <t>Result</t>
  </si>
  <si>
    <t>Bin Range</t>
  </si>
  <si>
    <t>Lower</t>
  </si>
  <si>
    <t xml:space="preserve">Frequency </t>
  </si>
  <si>
    <t>Upper</t>
  </si>
  <si>
    <t>20 to 25 min</t>
  </si>
  <si>
    <t>25 to 30 min</t>
  </si>
  <si>
    <t>30 to 35 min</t>
  </si>
  <si>
    <t>35 to 40 min</t>
  </si>
  <si>
    <t>40 to 45 min</t>
  </si>
  <si>
    <t>45 to 50 min</t>
  </si>
  <si>
    <t xml:space="preserve">Total = </t>
  </si>
  <si>
    <t xml:space="preserve">Standard Deviation = </t>
  </si>
  <si>
    <t>P(X ≤ 42) =</t>
  </si>
  <si>
    <t>P(X ≤ 28)=</t>
  </si>
  <si>
    <t xml:space="preserve">P(28 &lt; X &lt; 42) = </t>
  </si>
  <si>
    <t>Percentage value</t>
  </si>
  <si>
    <t>F4=AVERAGE(B2:B271)</t>
  </si>
  <si>
    <t>F5=MEDIAN(B2:B271)</t>
  </si>
  <si>
    <t>F6=STDEV.S(B2:B271)</t>
  </si>
  <si>
    <t>F7=MIN(B2:B271)</t>
  </si>
  <si>
    <t>F8=MAX(B2:B271)</t>
  </si>
  <si>
    <t>Q1.2</t>
  </si>
  <si>
    <t>Q1.1</t>
  </si>
  <si>
    <t>Q1.3</t>
  </si>
  <si>
    <t>user_id</t>
  </si>
  <si>
    <t>group</t>
  </si>
  <si>
    <t>engagement_score</t>
  </si>
  <si>
    <t>USER_0210</t>
  </si>
  <si>
    <t>B</t>
  </si>
  <si>
    <t>USER_0281</t>
  </si>
  <si>
    <t>USER_0034</t>
  </si>
  <si>
    <t>A</t>
  </si>
  <si>
    <t>USER_0211</t>
  </si>
  <si>
    <t>USER_0094</t>
  </si>
  <si>
    <t>USER_0085</t>
  </si>
  <si>
    <t>USER_0330</t>
  </si>
  <si>
    <t>USER_0095</t>
  </si>
  <si>
    <t>USER_0267</t>
  </si>
  <si>
    <t>USER_0127</t>
  </si>
  <si>
    <t>USER_0010</t>
  </si>
  <si>
    <t>USER_0362</t>
  </si>
  <si>
    <t>USER_0057</t>
  </si>
  <si>
    <t>USER_0073</t>
  </si>
  <si>
    <t>USER_0133</t>
  </si>
  <si>
    <t>USER_0043</t>
  </si>
  <si>
    <t>USER_0279</t>
  </si>
  <si>
    <t>USER_0377</t>
  </si>
  <si>
    <t>USER_0232</t>
  </si>
  <si>
    <t>USER_0386</t>
  </si>
  <si>
    <t>USER_0078</t>
  </si>
  <si>
    <t>USER_0016</t>
  </si>
  <si>
    <t>USER_0392</t>
  </si>
  <si>
    <t>USER_0272</t>
  </si>
  <si>
    <t>USER_0001</t>
  </si>
  <si>
    <t>USER_0397</t>
  </si>
  <si>
    <t>USER_0115</t>
  </si>
  <si>
    <t>USER_0226</t>
  </si>
  <si>
    <t>USER_0263</t>
  </si>
  <si>
    <t>USER_0105</t>
  </si>
  <si>
    <t>USER_0396</t>
  </si>
  <si>
    <t>USER_0194</t>
  </si>
  <si>
    <t>USER_0262</t>
  </si>
  <si>
    <t>USER_0058</t>
  </si>
  <si>
    <t>USER_0233</t>
  </si>
  <si>
    <t>USER_0117</t>
  </si>
  <si>
    <t>USER_0114</t>
  </si>
  <si>
    <t>USER_0343</t>
  </si>
  <si>
    <t>USER_0159</t>
  </si>
  <si>
    <t>USER_0142</t>
  </si>
  <si>
    <t>USER_0382</t>
  </si>
  <si>
    <t>USER_0056</t>
  </si>
  <si>
    <t>USER_0077</t>
  </si>
  <si>
    <t>USER_0026</t>
  </si>
  <si>
    <t>USER_0083</t>
  </si>
  <si>
    <t>USER_0383</t>
  </si>
  <si>
    <t>USER_0149</t>
  </si>
  <si>
    <t>USER_0182</t>
  </si>
  <si>
    <t>USER_0023</t>
  </si>
  <si>
    <t>USER_0174</t>
  </si>
  <si>
    <t>USER_0047</t>
  </si>
  <si>
    <t>USER_0322</t>
  </si>
  <si>
    <t>USER_0339</t>
  </si>
  <si>
    <t>USER_0071</t>
  </si>
  <si>
    <t>USER_0375</t>
  </si>
  <si>
    <t>USER_0040</t>
  </si>
  <si>
    <t>USER_0224</t>
  </si>
  <si>
    <t>USER_0173</t>
  </si>
  <si>
    <t>USER_0031</t>
  </si>
  <si>
    <t>USER_0153</t>
  </si>
  <si>
    <t>USER_0125</t>
  </si>
  <si>
    <t>USER_0295</t>
  </si>
  <si>
    <t>USER_0256</t>
  </si>
  <si>
    <t>USER_0079</t>
  </si>
  <si>
    <t>USER_0102</t>
  </si>
  <si>
    <t>USER_0032</t>
  </si>
  <si>
    <t>USER_0353</t>
  </si>
  <si>
    <t>USER_0269</t>
  </si>
  <si>
    <t>USER_0395</t>
  </si>
  <si>
    <t>USER_0074</t>
  </si>
  <si>
    <t>USER_0321</t>
  </si>
  <si>
    <t>USER_0141</t>
  </si>
  <si>
    <t>USER_0006</t>
  </si>
  <si>
    <t>USER_0046</t>
  </si>
  <si>
    <t>USER_0389</t>
  </si>
  <si>
    <t>USER_0247</t>
  </si>
  <si>
    <t>USER_0228</t>
  </si>
  <si>
    <t>USER_0370</t>
  </si>
  <si>
    <t>USER_0177</t>
  </si>
  <si>
    <t>USER_0290</t>
  </si>
  <si>
    <t>USER_0004</t>
  </si>
  <si>
    <t>USER_0019</t>
  </si>
  <si>
    <t>USER_0203</t>
  </si>
  <si>
    <t>USER_0251</t>
  </si>
  <si>
    <t>USER_0275</t>
  </si>
  <si>
    <t>USER_0064</t>
  </si>
  <si>
    <t>USER_0249</t>
  </si>
  <si>
    <t>USER_0302</t>
  </si>
  <si>
    <t>USER_0109</t>
  </si>
  <si>
    <t>USER_0091</t>
  </si>
  <si>
    <t>USER_0234</t>
  </si>
  <si>
    <t>USER_0336</t>
  </si>
  <si>
    <t>USER_0119</t>
  </si>
  <si>
    <t>USER_0221</t>
  </si>
  <si>
    <t>USER_0181</t>
  </si>
  <si>
    <t>USER_0315</t>
  </si>
  <si>
    <t>USER_0374</t>
  </si>
  <si>
    <t>USER_0381</t>
  </si>
  <si>
    <t>USER_0240</t>
  </si>
  <si>
    <t>USER_0076</t>
  </si>
  <si>
    <t>USER_0248</t>
  </si>
  <si>
    <t>USER_0111</t>
  </si>
  <si>
    <t>USER_0017</t>
  </si>
  <si>
    <t>USER_0067</t>
  </si>
  <si>
    <t>USER_0154</t>
  </si>
  <si>
    <t>USER_0008</t>
  </si>
  <si>
    <t>USER_0020</t>
  </si>
  <si>
    <t>USER_0138</t>
  </si>
  <si>
    <t>USER_0356</t>
  </si>
  <si>
    <t>USER_0350</t>
  </si>
  <si>
    <t>USER_0132</t>
  </si>
  <si>
    <t>USER_0388</t>
  </si>
  <si>
    <t>USER_0293</t>
  </si>
  <si>
    <t>USER_0387</t>
  </si>
  <si>
    <t>USER_0298</t>
  </si>
  <si>
    <t>USER_0061</t>
  </si>
  <si>
    <t>USER_0080</t>
  </si>
  <si>
    <t>USER_0286</t>
  </si>
  <si>
    <t>USER_0306</t>
  </si>
  <si>
    <t>USER_0282</t>
  </si>
  <si>
    <t>USER_0158</t>
  </si>
  <si>
    <t>USER_0110</t>
  </si>
  <si>
    <t>USER_0018</t>
  </si>
  <si>
    <t>USER_0348</t>
  </si>
  <si>
    <t>USER_0025</t>
  </si>
  <si>
    <t>USER_0176</t>
  </si>
  <si>
    <t>USER_0352</t>
  </si>
  <si>
    <t>USER_0333</t>
  </si>
  <si>
    <t>USER_0168</t>
  </si>
  <si>
    <t>USER_0246</t>
  </si>
  <si>
    <t>USER_0312</t>
  </si>
  <si>
    <t>USER_0146</t>
  </si>
  <si>
    <t>USER_0259</t>
  </si>
  <si>
    <t>USER_0178</t>
  </si>
  <si>
    <t>USER_0120</t>
  </si>
  <si>
    <t>USER_0195</t>
  </si>
  <si>
    <t>USER_0230</t>
  </si>
  <si>
    <t>USER_0266</t>
  </si>
  <si>
    <t>USER_0219</t>
  </si>
  <si>
    <t>USER_0308</t>
  </si>
  <si>
    <t>USER_0037</t>
  </si>
  <si>
    <t>USER_0140</t>
  </si>
  <si>
    <t>USER_0292</t>
  </si>
  <si>
    <t>USER_0156</t>
  </si>
  <si>
    <t>USER_0197</t>
  </si>
  <si>
    <t>USER_0285</t>
  </si>
  <si>
    <t>USER_0060</t>
  </si>
  <si>
    <t>USER_0112</t>
  </si>
  <si>
    <t>USER_0166</t>
  </si>
  <si>
    <t>USER_0364</t>
  </si>
  <si>
    <t>USER_0007</t>
  </si>
  <si>
    <t>USER_0334</t>
  </si>
  <si>
    <t>USER_0276</t>
  </si>
  <si>
    <t>USER_0151</t>
  </si>
  <si>
    <t>USER_0011</t>
  </si>
  <si>
    <t>USER_0193</t>
  </si>
  <si>
    <t>USER_0104</t>
  </si>
  <si>
    <t>USER_0082</t>
  </si>
  <si>
    <t>USER_0317</t>
  </si>
  <si>
    <t>USER_0399</t>
  </si>
  <si>
    <t>USER_0376</t>
  </si>
  <si>
    <t>USER_0209</t>
  </si>
  <si>
    <t>USER_0287</t>
  </si>
  <si>
    <t>USER_0169</t>
  </si>
  <si>
    <t>USER_0354</t>
  </si>
  <si>
    <t>USER_0090</t>
  </si>
  <si>
    <t>USER_0378</t>
  </si>
  <si>
    <t>USER_0164</t>
  </si>
  <si>
    <t>USER_0148</t>
  </si>
  <si>
    <t>USER_0229</t>
  </si>
  <si>
    <t>USER_0093</t>
  </si>
  <si>
    <t>USER_0070</t>
  </si>
  <si>
    <t>USER_0124</t>
  </si>
  <si>
    <t>USER_0097</t>
  </si>
  <si>
    <t>USER_0144</t>
  </si>
  <si>
    <t>USER_0327</t>
  </si>
  <si>
    <t>USER_0098</t>
  </si>
  <si>
    <t>USER_0239</t>
  </si>
  <si>
    <t>USER_0069</t>
  </si>
  <si>
    <t>USER_0024</t>
  </si>
  <si>
    <t>USER_0038</t>
  </si>
  <si>
    <t>USER_0145</t>
  </si>
  <si>
    <t>USER_0123</t>
  </si>
  <si>
    <t>USER_0183</t>
  </si>
  <si>
    <t>USER_0068</t>
  </si>
  <si>
    <t>USER_0199</t>
  </si>
  <si>
    <t>USER_0325</t>
  </si>
  <si>
    <t>USER_0220</t>
  </si>
  <si>
    <t>USER_0318</t>
  </si>
  <si>
    <t>USER_0196</t>
  </si>
  <si>
    <t>USER_0126</t>
  </si>
  <si>
    <t>USER_0147</t>
  </si>
  <si>
    <t>USER_0372</t>
  </si>
  <si>
    <t>USER_0087</t>
  </si>
  <si>
    <t>USER_0337</t>
  </si>
  <si>
    <t>USER_0341</t>
  </si>
  <si>
    <t>USER_0338</t>
  </si>
  <si>
    <t>USER_0355</t>
  </si>
  <si>
    <t>USER_0335</t>
  </si>
  <si>
    <t>USER_0303</t>
  </si>
  <si>
    <t>USER_0184</t>
  </si>
  <si>
    <t>USER_0204</t>
  </si>
  <si>
    <t>USER_0284</t>
  </si>
  <si>
    <t>USER_0212</t>
  </si>
  <si>
    <t>USER_0283</t>
  </si>
  <si>
    <t>USER_0130</t>
  </si>
  <si>
    <t>USER_0039</t>
  </si>
  <si>
    <t>USER_0012</t>
  </si>
  <si>
    <t>USER_0326</t>
  </si>
  <si>
    <t>USER_0186</t>
  </si>
  <si>
    <t>USER_0223</t>
  </si>
  <si>
    <t>USER_0113</t>
  </si>
  <si>
    <t>USER_0180</t>
  </si>
  <si>
    <t>USER_0328</t>
  </si>
  <si>
    <t>USER_0300</t>
  </si>
  <si>
    <t>USER_0118</t>
  </si>
  <si>
    <t>USER_0369</t>
  </si>
  <si>
    <t>USER_0278</t>
  </si>
  <si>
    <t>USER_0385</t>
  </si>
  <si>
    <t>USER_0288</t>
  </si>
  <si>
    <t>USER_0363</t>
  </si>
  <si>
    <t>USER_0165</t>
  </si>
  <si>
    <t>USER_0254</t>
  </si>
  <si>
    <t>USER_0137</t>
  </si>
  <si>
    <t>USER_0155</t>
  </si>
  <si>
    <t>USER_0200</t>
  </si>
  <si>
    <t>USER_0198</t>
  </si>
  <si>
    <t>USER_0393</t>
  </si>
  <si>
    <t>USER_0003</t>
  </si>
  <si>
    <t>USER_0205</t>
  </si>
  <si>
    <t>USER_0116</t>
  </si>
  <si>
    <t>USER_0235</t>
  </si>
  <si>
    <t>USER_0238</t>
  </si>
  <si>
    <t>USER_0027</t>
  </si>
  <si>
    <t>USER_0121</t>
  </si>
  <si>
    <t>USER_0358</t>
  </si>
  <si>
    <t>USER_0225</t>
  </si>
  <si>
    <t>USER_0361</t>
  </si>
  <si>
    <t>USER_0379</t>
  </si>
  <si>
    <t>USER_0351</t>
  </si>
  <si>
    <t>USER_0380</t>
  </si>
  <si>
    <t>USER_0128</t>
  </si>
  <si>
    <t>USER_0075</t>
  </si>
  <si>
    <t>USER_0323</t>
  </si>
  <si>
    <t>USER_0030</t>
  </si>
  <si>
    <t>USER_0084</t>
  </si>
  <si>
    <t>USER_0390</t>
  </si>
  <si>
    <t>USER_0108</t>
  </si>
  <si>
    <t>USER_0250</t>
  </si>
  <si>
    <t>USER_0297</t>
  </si>
  <si>
    <t>USER_0134</t>
  </si>
  <si>
    <t>USER_0245</t>
  </si>
  <si>
    <t>USER_0185</t>
  </si>
  <si>
    <t>USER_0291</t>
  </si>
  <si>
    <t>USER_0045</t>
  </si>
  <si>
    <t>USER_0368</t>
  </si>
  <si>
    <t>USER_0066</t>
  </si>
  <si>
    <t>USER_0086</t>
  </si>
  <si>
    <t>USER_0243</t>
  </si>
  <si>
    <t>USER_0187</t>
  </si>
  <si>
    <t>USER_0160</t>
  </si>
  <si>
    <t>USER_0013</t>
  </si>
  <si>
    <t>USER_0036</t>
  </si>
  <si>
    <t>USER_0029</t>
  </si>
  <si>
    <t>USER_0171</t>
  </si>
  <si>
    <t>USER_0143</t>
  </si>
  <si>
    <t>USER_0319</t>
  </si>
  <si>
    <t>USER_0273</t>
  </si>
  <si>
    <t>USER_0222</t>
  </si>
  <si>
    <t>USER_0096</t>
  </si>
  <si>
    <t>USER_0052</t>
  </si>
  <si>
    <t>USER_0241</t>
  </si>
  <si>
    <t>USER_0299</t>
  </si>
  <si>
    <t>USER_0305</t>
  </si>
  <si>
    <t>USER_0179</t>
  </si>
  <si>
    <t>USER_0042</t>
  </si>
  <si>
    <t>USER_0311</t>
  </si>
  <si>
    <t>USER_0207</t>
  </si>
  <si>
    <t>USER_0255</t>
  </si>
  <si>
    <t>USER_0332</t>
  </si>
  <si>
    <t>USER_0005</t>
  </si>
  <si>
    <t>USER_0257</t>
  </si>
  <si>
    <t>USER_0359</t>
  </si>
  <si>
    <t>USER_0101</t>
  </si>
  <si>
    <t>USER_0227</t>
  </si>
  <si>
    <t>USER_0342</t>
  </si>
  <si>
    <t>USER_0214</t>
  </si>
  <si>
    <t>USER_0172</t>
  </si>
  <si>
    <t>USER_0099</t>
  </si>
  <si>
    <t>USER_0216</t>
  </si>
  <si>
    <t>USER_0062</t>
  </si>
  <si>
    <t>USER_0048</t>
  </si>
  <si>
    <t>USER_0033</t>
  </si>
  <si>
    <t>USER_0268</t>
  </si>
  <si>
    <t>USER_0201</t>
  </si>
  <si>
    <t>USER_0357</t>
  </si>
  <si>
    <t>USER_0028</t>
  </si>
  <si>
    <t>USER_0313</t>
  </si>
  <si>
    <t>USER_0231</t>
  </si>
  <si>
    <t>USER_0261</t>
  </si>
  <si>
    <t>USER_0289</t>
  </si>
  <si>
    <t>USER_0163</t>
  </si>
  <si>
    <t>USER_0371</t>
  </si>
  <si>
    <t>USER_0139</t>
  </si>
  <si>
    <t>USER_0063</t>
  </si>
  <si>
    <t>USER_0136</t>
  </si>
  <si>
    <t>USER_0129</t>
  </si>
  <si>
    <t>USER_0009</t>
  </si>
  <si>
    <t>USER_0065</t>
  </si>
  <si>
    <t>USER_0301</t>
  </si>
  <si>
    <t>USER_0015</t>
  </si>
  <si>
    <t>USER_0157</t>
  </si>
  <si>
    <t>USER_0041</t>
  </si>
  <si>
    <t>USER_0367</t>
  </si>
  <si>
    <t>USER_0324</t>
  </si>
  <si>
    <t>USER_0217</t>
  </si>
  <si>
    <t>USER_0280</t>
  </si>
  <si>
    <t>USER_0347</t>
  </si>
  <si>
    <t>USER_0237</t>
  </si>
  <si>
    <t>USER_0208</t>
  </si>
  <si>
    <t>USER_0213</t>
  </si>
  <si>
    <t>USER_0296</t>
  </si>
  <si>
    <t>USER_0365</t>
  </si>
  <si>
    <t>USER_0252</t>
  </si>
  <si>
    <t>USER_0391</t>
  </si>
  <si>
    <t>USER_0366</t>
  </si>
  <si>
    <t>USER_0304</t>
  </si>
  <si>
    <t>USER_0270</t>
  </si>
  <si>
    <t>USER_0202</t>
  </si>
  <si>
    <t>USER_0162</t>
  </si>
  <si>
    <t>USER_0044</t>
  </si>
  <si>
    <t>USER_0218</t>
  </si>
  <si>
    <t>USER_0191</t>
  </si>
  <si>
    <t>USER_0310</t>
  </si>
  <si>
    <t>USER_0260</t>
  </si>
  <si>
    <t>USER_0106</t>
  </si>
  <si>
    <t>USER_0054</t>
  </si>
  <si>
    <t>USER_0002</t>
  </si>
  <si>
    <t>USER_0050</t>
  </si>
  <si>
    <t>USER_0081</t>
  </si>
  <si>
    <t>USER_0206</t>
  </si>
  <si>
    <t>USER_0035</t>
  </si>
  <si>
    <t>USER_0264</t>
  </si>
  <si>
    <t>USER_0092</t>
  </si>
  <si>
    <t>USER_0340</t>
  </si>
  <si>
    <t>USER_0053</t>
  </si>
  <si>
    <t>USER_0346</t>
  </si>
  <si>
    <t>USER_0265</t>
  </si>
  <si>
    <t>USER_0242</t>
  </si>
  <si>
    <t>USER_0014</t>
  </si>
  <si>
    <t>USER_0316</t>
  </si>
  <si>
    <t>USER_0089</t>
  </si>
  <si>
    <t>USER_0274</t>
  </si>
  <si>
    <t>USER_0167</t>
  </si>
  <si>
    <t>USER_0329</t>
  </si>
  <si>
    <t>USER_0394</t>
  </si>
  <si>
    <t>USER_0135</t>
  </si>
  <si>
    <t>USER_0307</t>
  </si>
  <si>
    <t>USER_0384</t>
  </si>
  <si>
    <t>USER_0320</t>
  </si>
  <si>
    <t>USER_0244</t>
  </si>
  <si>
    <t>USER_0055</t>
  </si>
  <si>
    <t>USER_0051</t>
  </si>
  <si>
    <t>USER_0175</t>
  </si>
  <si>
    <t>USER_0190</t>
  </si>
  <si>
    <t>USER_0398</t>
  </si>
  <si>
    <t>USER_0188</t>
  </si>
  <si>
    <t>USER_0170</t>
  </si>
  <si>
    <t>USER_0059</t>
  </si>
  <si>
    <t>USER_0049</t>
  </si>
  <si>
    <t>USER_0345</t>
  </si>
  <si>
    <t>USER_0236</t>
  </si>
  <si>
    <t>USER_0253</t>
  </si>
  <si>
    <t>USER_0022</t>
  </si>
  <si>
    <t>USER_0314</t>
  </si>
  <si>
    <t>USER_0161</t>
  </si>
  <si>
    <t>USER_0277</t>
  </si>
  <si>
    <t>USER_0192</t>
  </si>
  <si>
    <t>USER_0294</t>
  </si>
  <si>
    <t>USER_0344</t>
  </si>
  <si>
    <t>USER_0258</t>
  </si>
  <si>
    <t>USER_0309</t>
  </si>
  <si>
    <t>USER_0150</t>
  </si>
  <si>
    <t>USER_0131</t>
  </si>
  <si>
    <t>USER_0152</t>
  </si>
  <si>
    <t>USER_0360</t>
  </si>
  <si>
    <t>USER_0100</t>
  </si>
  <si>
    <t>USER_0373</t>
  </si>
  <si>
    <t>USER_0088</t>
  </si>
  <si>
    <t>USER_0331</t>
  </si>
  <si>
    <t>USER_0215</t>
  </si>
  <si>
    <t>USER_0122</t>
  </si>
  <si>
    <t>USER_0400</t>
  </si>
  <si>
    <t>USER_0021</t>
  </si>
  <si>
    <t>USER_0189</t>
  </si>
  <si>
    <t>USER_0072</t>
  </si>
  <si>
    <t>USER_0107</t>
  </si>
  <si>
    <t>USER_0271</t>
  </si>
  <si>
    <t>USER_0349</t>
  </si>
  <si>
    <t>USER_0103</t>
  </si>
  <si>
    <t>Null Hypothesis (H₀):</t>
  </si>
  <si>
    <t>Alternative Hypothesis (H₁): </t>
  </si>
  <si>
    <t>Test Type:</t>
  </si>
  <si>
    <t xml:space="preserve">Significance Level (α): </t>
  </si>
  <si>
    <t>One sample T test  (two tailed)</t>
  </si>
  <si>
    <t>Q2.1</t>
  </si>
  <si>
    <t>Q2.2</t>
  </si>
  <si>
    <t>Sample mean (X̄):</t>
  </si>
  <si>
    <t>Hypothesized mean (μ₀):</t>
  </si>
  <si>
    <t>Sample standard deviation (s):</t>
  </si>
  <si>
    <t>Sample size (n):</t>
  </si>
  <si>
    <t> Standard Error:</t>
  </si>
  <si>
    <t>t-statistic:</t>
  </si>
  <si>
    <t xml:space="preserve"> degrees of freedom:</t>
  </si>
  <si>
    <t>SE = S/SQRT(180)</t>
  </si>
  <si>
    <t>t = (X̄-μ₀)/SE</t>
  </si>
  <si>
    <t xml:space="preserve"> p-value:</t>
  </si>
  <si>
    <t>T.DIST.2T(ABS(t value)n-1)</t>
  </si>
  <si>
    <t>Your Decision:</t>
  </si>
  <si>
    <t>Reject Ho (because 0.0151 &lt; 0.05)</t>
  </si>
  <si>
    <t>p-value: 0.01507</t>
  </si>
  <si>
    <t>μ₀ = 70</t>
  </si>
  <si>
    <t>Q3.1</t>
  </si>
  <si>
    <t>Q3.2</t>
  </si>
  <si>
    <t>GROUP A (Control) Statistics:</t>
  </si>
  <si>
    <t>Standard Deviation for Group A:</t>
  </si>
  <si>
    <t>Sample size for Group A (n_A):</t>
  </si>
  <si>
    <t>GROUP B (Treatment) Statistics:</t>
  </si>
  <si>
    <t>Standard Deviation for Group B:</t>
  </si>
  <si>
    <t>Sample size for Group B (n_B):</t>
  </si>
  <si>
    <t>Difference in Means (Mean_B - Mean_A):</t>
  </si>
  <si>
    <t>n =</t>
  </si>
  <si>
    <t xml:space="preserve">n = </t>
  </si>
  <si>
    <t>Q3.3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</si>
  <si>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</si>
  <si>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</si>
  <si>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</si>
  <si>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</si>
  <si>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</si>
  <si>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</si>
  <si>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</si>
  <si>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</si>
  <si>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</si>
  <si>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</si>
  <si>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</si>
  <si>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group B</t>
  </si>
  <si>
    <t>group A</t>
  </si>
  <si>
    <t>Mean of group A = AVERAGE(E2:E201)</t>
  </si>
  <si>
    <t>SD = STDEV.S(E2:E201)</t>
  </si>
  <si>
    <t>Mean of group B = AVERAGE(G2:G201)</t>
  </si>
  <si>
    <t>SD = STDEV.S(G2:G201)</t>
  </si>
  <si>
    <t>μA = μB</t>
  </si>
  <si>
    <t>μA ≠ μB</t>
  </si>
  <si>
    <t>Two-sample t-test (two-tailed, independent samples)</t>
  </si>
  <si>
    <t>t-Test output:</t>
  </si>
  <si>
    <t>p-value (Two-tail):</t>
  </si>
  <si>
    <t>df (degrees of freedom):</t>
  </si>
  <si>
    <t>Therefore: Reject H₀.</t>
  </si>
  <si>
    <t xml:space="preserve">Mean </t>
  </si>
  <si>
    <t xml:space="preserve">Median </t>
  </si>
  <si>
    <t xml:space="preserve">Standard deviation  </t>
  </si>
  <si>
    <t xml:space="preserve">Minimum value  </t>
  </si>
  <si>
    <t xml:space="preserve">Maximum value </t>
  </si>
  <si>
    <t>μ₀ ≠ 70</t>
  </si>
  <si>
    <t>city_id</t>
  </si>
  <si>
    <t>monthly_revenue</t>
  </si>
  <si>
    <t>active_subscribers</t>
  </si>
  <si>
    <t>city_population</t>
  </si>
  <si>
    <t>gym_density</t>
  </si>
  <si>
    <t>has_influencer</t>
  </si>
  <si>
    <t>CITY_001</t>
  </si>
  <si>
    <t>CITY_002</t>
  </si>
  <si>
    <t>CITY_003</t>
  </si>
  <si>
    <t>CITY_004</t>
  </si>
  <si>
    <t>CITY_005</t>
  </si>
  <si>
    <t>CITY_006</t>
  </si>
  <si>
    <t>CITY_007</t>
  </si>
  <si>
    <t>CITY_008</t>
  </si>
  <si>
    <t>CITY_009</t>
  </si>
  <si>
    <t>CITY_010</t>
  </si>
  <si>
    <t>CITY_011</t>
  </si>
  <si>
    <t>CITY_012</t>
  </si>
  <si>
    <t>CITY_013</t>
  </si>
  <si>
    <t>CITY_014</t>
  </si>
  <si>
    <t>CITY_015</t>
  </si>
  <si>
    <t>CITY_016</t>
  </si>
  <si>
    <t>CITY_017</t>
  </si>
  <si>
    <t>CITY_018</t>
  </si>
  <si>
    <t>CITY_019</t>
  </si>
  <si>
    <t>CITY_020</t>
  </si>
  <si>
    <t>CITY_021</t>
  </si>
  <si>
    <t>CITY_022</t>
  </si>
  <si>
    <t>CITY_023</t>
  </si>
  <si>
    <t>CITY_024</t>
  </si>
  <si>
    <t>CITY_025</t>
  </si>
  <si>
    <t>CITY_026</t>
  </si>
  <si>
    <t>CITY_027</t>
  </si>
  <si>
    <t>CITY_028</t>
  </si>
  <si>
    <t>CITY_029</t>
  </si>
  <si>
    <t>CITY_030</t>
  </si>
  <si>
    <t>CITY_031</t>
  </si>
  <si>
    <t>CITY_032</t>
  </si>
  <si>
    <t>CITY_033</t>
  </si>
  <si>
    <t>CITY_034</t>
  </si>
  <si>
    <t>CITY_035</t>
  </si>
  <si>
    <t>CITY_036</t>
  </si>
  <si>
    <t>CITY_037</t>
  </si>
  <si>
    <t>CITY_038</t>
  </si>
  <si>
    <t>CITY_039</t>
  </si>
  <si>
    <t>CITY_040</t>
  </si>
  <si>
    <t>CITY_041</t>
  </si>
  <si>
    <t>CITY_042</t>
  </si>
  <si>
    <t>CITY_043</t>
  </si>
  <si>
    <t>CITY_044</t>
  </si>
  <si>
    <t>CITY_045</t>
  </si>
  <si>
    <t>CITY_046</t>
  </si>
  <si>
    <t>CITY_047</t>
  </si>
  <si>
    <t>CITY_048</t>
  </si>
  <si>
    <t>CITY_049</t>
  </si>
  <si>
    <t>CITY_050</t>
  </si>
  <si>
    <t>CITY_051</t>
  </si>
  <si>
    <t>CITY_052</t>
  </si>
  <si>
    <t>CITY_053</t>
  </si>
  <si>
    <t>CITY_054</t>
  </si>
  <si>
    <t>CITY_055</t>
  </si>
  <si>
    <t>CITY_056</t>
  </si>
  <si>
    <t>CITY_057</t>
  </si>
  <si>
    <t>CITY_058</t>
  </si>
  <si>
    <t>CITY_059</t>
  </si>
  <si>
    <t>CITY_060</t>
  </si>
  <si>
    <t>R Square</t>
  </si>
  <si>
    <t>Adjusted R Square</t>
  </si>
  <si>
    <t>Intercept</t>
  </si>
  <si>
    <t>Coefficients</t>
  </si>
  <si>
    <t>P value</t>
  </si>
  <si>
    <t>Significance at 0.05</t>
  </si>
  <si>
    <t>5.57E-07&lt;0.05</t>
  </si>
  <si>
    <t>0.0015&lt;0.05</t>
  </si>
  <si>
    <t>0.086&gt;0.05</t>
  </si>
  <si>
    <t>1.05E-05&lt;0.05</t>
  </si>
  <si>
    <t>Significant or Not</t>
  </si>
  <si>
    <t>Significant</t>
  </si>
  <si>
    <t>Not significant</t>
  </si>
  <si>
    <t xml:space="preserve">Significant </t>
  </si>
  <si>
    <t>df= n-1</t>
  </si>
  <si>
    <t>Difference = mean of A - mean of B</t>
  </si>
  <si>
    <r>
      <t xml:space="preserve">Since p-value is </t>
    </r>
    <r>
      <rPr>
        <b/>
        <sz val="11"/>
        <color theme="1"/>
        <rFont val="Calibri"/>
        <family val="2"/>
        <scheme val="minor"/>
      </rPr>
      <t>0.001088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, p-value </t>
    </r>
    <r>
      <rPr>
        <b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α.</t>
    </r>
  </si>
  <si>
    <t>Q4.1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</si>
</sst>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24292F"/>
      <name val="Calibri"/>
      <family val="2"/>
    </font>
    <font>
      <b/>
      <sz val="8"/>
      <color rgb="FF24292F"/>
      <name val="Consolas"/>
      <family val="3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11" xfId="0" applyFont="1" applyBorder="1" applyAlignment="1">
      <alignment horizontal="center"/>
    </xf>
    <xf numFmtId="0" fontId="22" fillId="0" borderId="10" xfId="0" applyFont="1" applyBorder="1"/>
    <xf numFmtId="11" fontId="0" fillId="0" borderId="0" xfId="0" applyNumberFormat="1"/>
    <xf numFmtId="0" fontId="24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B11F-2EB7-48ED-84BE-50C895FED7D8}">
  <dimension ref="A1:L271"/>
  <sheetViews>
    <sheetView topLeftCell="B26" workbookViewId="0">
      <selection activeCell="J53" sqref="J53"/>
    </sheetView>
  </sheetViews>
  <sheetFormatPr defaultRowHeight="14.4" x14ac:dyDescent="0.3"/>
  <cols>
    <col min="1" max="1" width="10.33203125" bestFit="1" customWidth="1"/>
    <col min="2" max="2" width="18.77734375" bestFit="1" customWidth="1"/>
    <col min="3" max="3" width="18" bestFit="1" customWidth="1"/>
    <col min="4" max="4" width="12.33203125" bestFit="1" customWidth="1"/>
    <col min="9" max="9" width="18.33203125" bestFit="1" customWidth="1"/>
    <col min="10" max="10" width="19.6640625" bestFit="1" customWidth="1"/>
    <col min="11" max="11" width="12" bestFit="1" customWidth="1"/>
    <col min="12" max="12" width="15" bestFit="1" customWidth="1"/>
    <col min="13" max="13" width="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 s="1">
        <v>45292</v>
      </c>
      <c r="B2">
        <v>36.4</v>
      </c>
      <c r="C2">
        <v>3200</v>
      </c>
      <c r="D2">
        <v>24494.89</v>
      </c>
    </row>
    <row r="3" spans="1:11" x14ac:dyDescent="0.3">
      <c r="A3" s="1">
        <v>45293</v>
      </c>
      <c r="B3">
        <v>32.1</v>
      </c>
      <c r="C3">
        <v>2644</v>
      </c>
      <c r="D3">
        <v>20261.86</v>
      </c>
    </row>
    <row r="4" spans="1:11" x14ac:dyDescent="0.3">
      <c r="A4" s="1">
        <v>45294</v>
      </c>
      <c r="B4">
        <v>37.4</v>
      </c>
      <c r="C4">
        <v>3200</v>
      </c>
      <c r="D4">
        <v>25000</v>
      </c>
    </row>
    <row r="5" spans="1:11" x14ac:dyDescent="0.3">
      <c r="A5" s="1">
        <v>45295</v>
      </c>
      <c r="B5">
        <v>43.3</v>
      </c>
      <c r="C5">
        <v>3101</v>
      </c>
      <c r="D5">
        <v>23202.49</v>
      </c>
    </row>
    <row r="6" spans="1:11" x14ac:dyDescent="0.3">
      <c r="A6" s="1">
        <v>45296</v>
      </c>
      <c r="B6">
        <v>31.4</v>
      </c>
      <c r="C6">
        <v>2725</v>
      </c>
      <c r="D6">
        <v>20342.55</v>
      </c>
    </row>
    <row r="7" spans="1:11" x14ac:dyDescent="0.3">
      <c r="A7" s="1">
        <v>45297</v>
      </c>
      <c r="B7">
        <v>31.4</v>
      </c>
      <c r="C7">
        <v>3014</v>
      </c>
      <c r="D7">
        <v>23224.69</v>
      </c>
      <c r="I7" t="s">
        <v>30</v>
      </c>
    </row>
    <row r="8" spans="1:11" x14ac:dyDescent="0.3">
      <c r="A8" s="1">
        <v>45298</v>
      </c>
      <c r="B8">
        <v>43.7</v>
      </c>
      <c r="C8">
        <v>3145</v>
      </c>
      <c r="D8">
        <v>22798.71</v>
      </c>
      <c r="I8" s="2" t="s">
        <v>5</v>
      </c>
      <c r="J8" s="2" t="s">
        <v>6</v>
      </c>
      <c r="K8" s="2" t="s">
        <v>7</v>
      </c>
    </row>
    <row r="9" spans="1:11" x14ac:dyDescent="0.3">
      <c r="A9" s="1">
        <v>45299</v>
      </c>
      <c r="B9">
        <v>38.200000000000003</v>
      </c>
      <c r="C9">
        <v>2903</v>
      </c>
      <c r="D9">
        <v>23925.65</v>
      </c>
      <c r="I9" s="2" t="s">
        <v>495</v>
      </c>
      <c r="J9" t="s">
        <v>24</v>
      </c>
      <c r="K9">
        <f>AVERAGE(B2:B271)</f>
        <v>32.894814814814836</v>
      </c>
    </row>
    <row r="10" spans="1:11" x14ac:dyDescent="0.3">
      <c r="A10" s="1">
        <v>45300</v>
      </c>
      <c r="B10">
        <v>29.8</v>
      </c>
      <c r="C10">
        <v>2911</v>
      </c>
      <c r="D10">
        <v>23148.81</v>
      </c>
      <c r="I10" s="2" t="s">
        <v>496</v>
      </c>
      <c r="J10" t="s">
        <v>25</v>
      </c>
      <c r="K10">
        <f>MEDIAN(B2:B276)</f>
        <v>33.200000000000003</v>
      </c>
    </row>
    <row r="11" spans="1:11" x14ac:dyDescent="0.3">
      <c r="A11" s="1">
        <v>45301</v>
      </c>
      <c r="B11">
        <v>36.700000000000003</v>
      </c>
      <c r="C11">
        <v>2923</v>
      </c>
      <c r="D11">
        <v>23000.54</v>
      </c>
      <c r="I11" s="2" t="s">
        <v>497</v>
      </c>
      <c r="J11" t="s">
        <v>26</v>
      </c>
      <c r="K11">
        <f>_xlfn.STDEV.S(B2:B276)</f>
        <v>6.4369035770892999</v>
      </c>
    </row>
    <row r="12" spans="1:11" x14ac:dyDescent="0.3">
      <c r="A12" s="1">
        <v>45302</v>
      </c>
      <c r="B12">
        <v>29.9</v>
      </c>
      <c r="C12">
        <v>2921</v>
      </c>
      <c r="D12">
        <v>21126.28</v>
      </c>
      <c r="I12" s="2" t="s">
        <v>498</v>
      </c>
      <c r="J12" t="s">
        <v>27</v>
      </c>
      <c r="K12">
        <f>MIN(B2:B276)</f>
        <v>20</v>
      </c>
    </row>
    <row r="13" spans="1:11" x14ac:dyDescent="0.3">
      <c r="A13" s="1">
        <v>45303</v>
      </c>
      <c r="B13">
        <v>29.9</v>
      </c>
      <c r="C13">
        <v>3030</v>
      </c>
      <c r="D13">
        <v>23910.81</v>
      </c>
      <c r="I13" s="2" t="s">
        <v>499</v>
      </c>
      <c r="J13" t="s">
        <v>28</v>
      </c>
      <c r="K13">
        <f>MAX(B2:B276)</f>
        <v>50</v>
      </c>
    </row>
    <row r="14" spans="1:11" x14ac:dyDescent="0.3">
      <c r="A14" s="1">
        <v>45304</v>
      </c>
      <c r="B14">
        <v>34.6</v>
      </c>
      <c r="C14">
        <v>3200</v>
      </c>
      <c r="D14">
        <v>25000</v>
      </c>
    </row>
    <row r="15" spans="1:11" x14ac:dyDescent="0.3">
      <c r="A15" s="1">
        <v>45305</v>
      </c>
      <c r="B15">
        <v>20.100000000000001</v>
      </c>
      <c r="C15">
        <v>2504</v>
      </c>
      <c r="D15">
        <v>17196.7</v>
      </c>
    </row>
    <row r="16" spans="1:11" x14ac:dyDescent="0.3">
      <c r="A16" s="1">
        <v>45306</v>
      </c>
      <c r="B16">
        <v>21.4</v>
      </c>
      <c r="C16">
        <v>3197</v>
      </c>
      <c r="D16">
        <v>22228.02</v>
      </c>
    </row>
    <row r="17" spans="1:12" x14ac:dyDescent="0.3">
      <c r="A17" s="1">
        <v>45307</v>
      </c>
      <c r="B17">
        <v>29.2</v>
      </c>
      <c r="C17">
        <v>2498</v>
      </c>
      <c r="D17">
        <v>19213.560000000001</v>
      </c>
    </row>
    <row r="18" spans="1:12" x14ac:dyDescent="0.3">
      <c r="A18" s="1">
        <v>45308</v>
      </c>
      <c r="B18">
        <v>26.2</v>
      </c>
      <c r="C18">
        <v>2812</v>
      </c>
      <c r="D18">
        <v>21262.2</v>
      </c>
    </row>
    <row r="19" spans="1:12" x14ac:dyDescent="0.3">
      <c r="A19" s="1">
        <v>45309</v>
      </c>
      <c r="B19">
        <v>35.1</v>
      </c>
      <c r="C19">
        <v>3094</v>
      </c>
      <c r="D19">
        <v>24572.95</v>
      </c>
    </row>
    <row r="20" spans="1:12" x14ac:dyDescent="0.3">
      <c r="A20" s="1">
        <v>45310</v>
      </c>
      <c r="B20">
        <v>26.9</v>
      </c>
      <c r="C20">
        <v>2909</v>
      </c>
      <c r="D20">
        <v>20858.45</v>
      </c>
    </row>
    <row r="21" spans="1:12" x14ac:dyDescent="0.3">
      <c r="A21" s="1">
        <v>45311</v>
      </c>
      <c r="B21">
        <v>23.5</v>
      </c>
      <c r="C21">
        <v>2677</v>
      </c>
      <c r="D21">
        <v>20200.259999999998</v>
      </c>
    </row>
    <row r="22" spans="1:12" x14ac:dyDescent="0.3">
      <c r="A22" s="1">
        <v>45312</v>
      </c>
      <c r="B22">
        <v>42.9</v>
      </c>
      <c r="C22">
        <v>3052</v>
      </c>
      <c r="D22">
        <v>22169.47</v>
      </c>
      <c r="I22" t="s">
        <v>29</v>
      </c>
    </row>
    <row r="23" spans="1:12" x14ac:dyDescent="0.3">
      <c r="A23" s="1">
        <v>45313</v>
      </c>
      <c r="B23">
        <v>31.5</v>
      </c>
      <c r="C23">
        <v>2824</v>
      </c>
      <c r="D23">
        <v>20535.46</v>
      </c>
      <c r="I23" s="2" t="s">
        <v>8</v>
      </c>
      <c r="J23" s="2" t="s">
        <v>9</v>
      </c>
      <c r="K23" s="2" t="s">
        <v>11</v>
      </c>
      <c r="L23" s="2" t="s">
        <v>10</v>
      </c>
    </row>
    <row r="24" spans="1:12" x14ac:dyDescent="0.3">
      <c r="A24" s="1">
        <v>45314</v>
      </c>
      <c r="B24">
        <v>33.5</v>
      </c>
      <c r="C24">
        <v>2834</v>
      </c>
      <c r="D24">
        <v>20583.419999999998</v>
      </c>
      <c r="I24" s="2" t="s">
        <v>12</v>
      </c>
      <c r="J24">
        <v>20</v>
      </c>
      <c r="K24">
        <v>25</v>
      </c>
      <c r="L24">
        <f>COUNTIFS(B2:B271,"&gt;=20",B2:B271,"&lt;25")</f>
        <v>33</v>
      </c>
    </row>
    <row r="25" spans="1:12" x14ac:dyDescent="0.3">
      <c r="A25" s="1">
        <v>45315</v>
      </c>
      <c r="B25">
        <v>23.4</v>
      </c>
      <c r="C25">
        <v>2971</v>
      </c>
      <c r="D25">
        <v>23757.49</v>
      </c>
      <c r="I25" s="2" t="s">
        <v>13</v>
      </c>
      <c r="J25">
        <v>25</v>
      </c>
      <c r="K25">
        <v>30</v>
      </c>
      <c r="L25">
        <f>COUNTIFS(B2:B271,"&gt;=25",B2:B271,"&lt;30")</f>
        <v>61</v>
      </c>
    </row>
    <row r="26" spans="1:12" x14ac:dyDescent="0.3">
      <c r="A26" s="1">
        <v>45316</v>
      </c>
      <c r="B26">
        <v>29.3</v>
      </c>
      <c r="C26">
        <v>2961</v>
      </c>
      <c r="D26">
        <v>23113.61</v>
      </c>
      <c r="I26" s="2" t="s">
        <v>14</v>
      </c>
      <c r="J26">
        <v>30</v>
      </c>
      <c r="K26">
        <v>35</v>
      </c>
      <c r="L26">
        <f>COUNTIFS(B2:B271,"&gt;=30",B2:B271,"&lt;35")</f>
        <v>72</v>
      </c>
    </row>
    <row r="27" spans="1:12" x14ac:dyDescent="0.3">
      <c r="A27" s="1">
        <v>45317</v>
      </c>
      <c r="B27">
        <v>33.700000000000003</v>
      </c>
      <c r="C27">
        <v>2818</v>
      </c>
      <c r="D27">
        <v>21429.59</v>
      </c>
      <c r="I27" s="2" t="s">
        <v>15</v>
      </c>
      <c r="J27">
        <v>35</v>
      </c>
      <c r="K27">
        <v>40</v>
      </c>
      <c r="L27">
        <f>COUNTIFS(B2:B271,"&gt;=35",B2:B271,"&lt;40")</f>
        <v>70</v>
      </c>
    </row>
    <row r="28" spans="1:12" x14ac:dyDescent="0.3">
      <c r="A28" s="1">
        <v>45318</v>
      </c>
      <c r="B28">
        <v>25.2</v>
      </c>
      <c r="C28">
        <v>3008</v>
      </c>
      <c r="D28">
        <v>22100.28</v>
      </c>
      <c r="I28" s="2" t="s">
        <v>16</v>
      </c>
      <c r="J28">
        <v>40</v>
      </c>
      <c r="K28">
        <v>45</v>
      </c>
      <c r="L28">
        <f>COUNTIFS(B2:B271,"&gt;=40",B2:B271,"&lt;45")</f>
        <v>23</v>
      </c>
    </row>
    <row r="29" spans="1:12" x14ac:dyDescent="0.3">
      <c r="A29" s="1">
        <v>45319</v>
      </c>
      <c r="B29">
        <v>35.5</v>
      </c>
      <c r="C29">
        <v>3044</v>
      </c>
      <c r="D29">
        <v>23147.72</v>
      </c>
      <c r="I29" s="2" t="s">
        <v>17</v>
      </c>
      <c r="J29">
        <v>45</v>
      </c>
      <c r="K29">
        <v>50</v>
      </c>
      <c r="L29">
        <f>COUNTIFS(B2:B271,"&gt;=45",B2:B271,"&lt;=50")</f>
        <v>11</v>
      </c>
    </row>
    <row r="30" spans="1:12" x14ac:dyDescent="0.3">
      <c r="A30" s="1">
        <v>45320</v>
      </c>
      <c r="B30">
        <v>28.9</v>
      </c>
      <c r="C30">
        <v>3047</v>
      </c>
      <c r="D30">
        <v>22739.59</v>
      </c>
    </row>
    <row r="31" spans="1:12" x14ac:dyDescent="0.3">
      <c r="A31" s="1">
        <v>45321</v>
      </c>
      <c r="B31">
        <v>31</v>
      </c>
      <c r="C31">
        <v>3041</v>
      </c>
      <c r="D31">
        <v>23874.12</v>
      </c>
      <c r="K31" s="2" t="s">
        <v>18</v>
      </c>
      <c r="L31">
        <f>SUM(L24:L29)</f>
        <v>270</v>
      </c>
    </row>
    <row r="32" spans="1:12" x14ac:dyDescent="0.3">
      <c r="A32" s="1">
        <v>45322</v>
      </c>
      <c r="B32">
        <v>28.9</v>
      </c>
      <c r="C32">
        <v>2718</v>
      </c>
      <c r="D32">
        <v>20355.36</v>
      </c>
    </row>
    <row r="33" spans="1:12" x14ac:dyDescent="0.3">
      <c r="A33" s="1">
        <v>45323</v>
      </c>
      <c r="B33">
        <v>45.5</v>
      </c>
      <c r="C33">
        <v>3021</v>
      </c>
      <c r="D33">
        <v>21647.37</v>
      </c>
    </row>
    <row r="34" spans="1:12" x14ac:dyDescent="0.3">
      <c r="A34" s="1">
        <v>45324</v>
      </c>
      <c r="B34">
        <v>32.9</v>
      </c>
      <c r="C34">
        <v>3093</v>
      </c>
      <c r="D34">
        <v>22541.54</v>
      </c>
    </row>
    <row r="35" spans="1:12" x14ac:dyDescent="0.3">
      <c r="A35" s="1">
        <v>45325</v>
      </c>
      <c r="B35">
        <v>25.9</v>
      </c>
      <c r="C35">
        <v>2960</v>
      </c>
      <c r="D35">
        <v>22138.65</v>
      </c>
    </row>
    <row r="36" spans="1:12" x14ac:dyDescent="0.3">
      <c r="A36" s="1">
        <v>45326</v>
      </c>
      <c r="B36">
        <v>38.6</v>
      </c>
      <c r="C36">
        <v>3024</v>
      </c>
      <c r="D36">
        <v>23408.99</v>
      </c>
    </row>
    <row r="37" spans="1:12" x14ac:dyDescent="0.3">
      <c r="A37" s="1">
        <v>45327</v>
      </c>
      <c r="B37">
        <v>24.8</v>
      </c>
      <c r="C37">
        <v>2845</v>
      </c>
      <c r="D37">
        <v>21685.99</v>
      </c>
      <c r="I37" t="s">
        <v>31</v>
      </c>
    </row>
    <row r="38" spans="1:12" x14ac:dyDescent="0.3">
      <c r="A38" s="1">
        <v>45328</v>
      </c>
      <c r="B38">
        <v>34.4</v>
      </c>
      <c r="C38">
        <v>3200</v>
      </c>
      <c r="D38">
        <v>23157.24</v>
      </c>
      <c r="I38" s="2" t="s">
        <v>4</v>
      </c>
      <c r="J38">
        <v>32.89481481</v>
      </c>
    </row>
    <row r="39" spans="1:12" x14ac:dyDescent="0.3">
      <c r="A39" s="1">
        <v>45329</v>
      </c>
      <c r="B39">
        <v>20</v>
      </c>
      <c r="C39">
        <v>2632</v>
      </c>
      <c r="D39">
        <v>20806.560000000001</v>
      </c>
      <c r="I39" s="2"/>
    </row>
    <row r="40" spans="1:12" x14ac:dyDescent="0.3">
      <c r="A40" s="1">
        <v>45330</v>
      </c>
      <c r="B40">
        <v>24</v>
      </c>
      <c r="C40">
        <v>2920</v>
      </c>
      <c r="D40">
        <v>22030.1</v>
      </c>
      <c r="I40" s="2" t="s">
        <v>19</v>
      </c>
      <c r="J40">
        <v>6.4369035769999998</v>
      </c>
    </row>
    <row r="41" spans="1:12" x14ac:dyDescent="0.3">
      <c r="A41" s="1">
        <v>45331</v>
      </c>
      <c r="B41">
        <v>34.299999999999997</v>
      </c>
      <c r="C41">
        <v>2924</v>
      </c>
      <c r="D41">
        <v>21799.33</v>
      </c>
      <c r="I41" s="2"/>
      <c r="L41" s="2" t="s">
        <v>23</v>
      </c>
    </row>
    <row r="42" spans="1:12" x14ac:dyDescent="0.3">
      <c r="A42" s="1">
        <v>45332</v>
      </c>
      <c r="B42">
        <v>38</v>
      </c>
      <c r="C42">
        <v>2976</v>
      </c>
      <c r="D42">
        <v>23577.72</v>
      </c>
      <c r="I42" s="2" t="s">
        <v>20</v>
      </c>
      <c r="J42">
        <f>_xlfn.NORM.DIST(42,J38,J40,TRUE)</f>
        <v>0.92139664438273272</v>
      </c>
      <c r="L42">
        <f xml:space="preserve"> J42*100</f>
        <v>92.139664438273272</v>
      </c>
    </row>
    <row r="43" spans="1:12" x14ac:dyDescent="0.3">
      <c r="A43" s="1">
        <v>45333</v>
      </c>
      <c r="B43">
        <v>34.200000000000003</v>
      </c>
      <c r="C43">
        <v>3182</v>
      </c>
      <c r="D43">
        <v>24029.19</v>
      </c>
      <c r="I43" s="2"/>
    </row>
    <row r="44" spans="1:12" x14ac:dyDescent="0.3">
      <c r="A44" s="1">
        <v>45334</v>
      </c>
      <c r="B44">
        <v>32.200000000000003</v>
      </c>
      <c r="C44">
        <v>3098</v>
      </c>
      <c r="D44">
        <v>21830.9</v>
      </c>
      <c r="I44" s="6" t="s">
        <v>21</v>
      </c>
      <c r="J44">
        <f>_xlfn.NORM.DIST(28,J38,J40,TRUE)</f>
        <v>0.22349878795611075</v>
      </c>
      <c r="L44">
        <f>J44*100</f>
        <v>22.349878795611076</v>
      </c>
    </row>
    <row r="45" spans="1:12" x14ac:dyDescent="0.3">
      <c r="A45" s="1">
        <v>45335</v>
      </c>
      <c r="B45">
        <v>31</v>
      </c>
      <c r="C45">
        <v>3077</v>
      </c>
      <c r="D45">
        <v>24276.28</v>
      </c>
      <c r="I45" s="7"/>
    </row>
    <row r="46" spans="1:12" x14ac:dyDescent="0.3">
      <c r="A46" s="1">
        <v>45336</v>
      </c>
      <c r="B46">
        <v>23</v>
      </c>
      <c r="C46">
        <v>3056</v>
      </c>
      <c r="D46">
        <v>23421.34</v>
      </c>
      <c r="I46" s="6" t="s">
        <v>22</v>
      </c>
      <c r="J46">
        <f>_xlfn.NORM.DIST(42,J38,J40,TRUE) - _xlfn.NORM.DIST(28,J38,J40,TRUE)</f>
        <v>0.69789785642662194</v>
      </c>
      <c r="L46">
        <f>J46*100</f>
        <v>69.789785642662196</v>
      </c>
    </row>
    <row r="47" spans="1:12" x14ac:dyDescent="0.3">
      <c r="A47" s="1">
        <v>45337</v>
      </c>
      <c r="B47">
        <v>28.1</v>
      </c>
      <c r="C47">
        <v>2876</v>
      </c>
      <c r="D47">
        <v>20855.810000000001</v>
      </c>
      <c r="I47" s="2"/>
    </row>
    <row r="48" spans="1:12" x14ac:dyDescent="0.3">
      <c r="A48" s="1">
        <v>45338</v>
      </c>
      <c r="B48">
        <v>29.9</v>
      </c>
      <c r="C48">
        <v>3035</v>
      </c>
      <c r="D48">
        <v>22295.57</v>
      </c>
      <c r="I48" s="2"/>
    </row>
    <row r="49" spans="1:4" x14ac:dyDescent="0.3">
      <c r="A49" s="1">
        <v>45339</v>
      </c>
      <c r="B49">
        <v>40.1</v>
      </c>
      <c r="C49">
        <v>2990</v>
      </c>
      <c r="D49">
        <v>22856.83</v>
      </c>
    </row>
    <row r="50" spans="1:4" x14ac:dyDescent="0.3">
      <c r="A50" s="1">
        <v>45340</v>
      </c>
      <c r="B50">
        <v>35.299999999999997</v>
      </c>
      <c r="C50">
        <v>3045</v>
      </c>
      <c r="D50">
        <v>23109.69</v>
      </c>
    </row>
    <row r="51" spans="1:4" x14ac:dyDescent="0.3">
      <c r="A51" s="1">
        <v>45341</v>
      </c>
      <c r="B51">
        <v>21.1</v>
      </c>
      <c r="C51">
        <v>2740</v>
      </c>
      <c r="D51">
        <v>20421.82</v>
      </c>
    </row>
    <row r="52" spans="1:4" x14ac:dyDescent="0.3">
      <c r="A52" s="1">
        <v>45342</v>
      </c>
      <c r="B52">
        <v>35.200000000000003</v>
      </c>
      <c r="C52">
        <v>2997</v>
      </c>
      <c r="D52">
        <v>24381.49</v>
      </c>
    </row>
    <row r="53" spans="1:4" x14ac:dyDescent="0.3">
      <c r="A53" s="1">
        <v>45343</v>
      </c>
      <c r="B53">
        <v>30.4</v>
      </c>
      <c r="C53">
        <v>3025</v>
      </c>
      <c r="D53">
        <v>23658.78</v>
      </c>
    </row>
    <row r="54" spans="1:4" x14ac:dyDescent="0.3">
      <c r="A54" s="1">
        <v>45344</v>
      </c>
      <c r="B54">
        <v>28.4</v>
      </c>
      <c r="C54">
        <v>2713</v>
      </c>
      <c r="D54">
        <v>19918.419999999998</v>
      </c>
    </row>
    <row r="55" spans="1:4" x14ac:dyDescent="0.3">
      <c r="A55" s="1">
        <v>45345</v>
      </c>
      <c r="B55">
        <v>37.1</v>
      </c>
      <c r="C55">
        <v>3200</v>
      </c>
      <c r="D55">
        <v>22654.73</v>
      </c>
    </row>
    <row r="56" spans="1:4" x14ac:dyDescent="0.3">
      <c r="A56" s="1">
        <v>45346</v>
      </c>
      <c r="B56">
        <v>40</v>
      </c>
      <c r="C56">
        <v>2848</v>
      </c>
      <c r="D56">
        <v>20777.22</v>
      </c>
    </row>
    <row r="57" spans="1:4" x14ac:dyDescent="0.3">
      <c r="A57" s="1">
        <v>45347</v>
      </c>
      <c r="B57">
        <v>39.299999999999997</v>
      </c>
      <c r="C57">
        <v>2796</v>
      </c>
      <c r="D57">
        <v>22096.89</v>
      </c>
    </row>
    <row r="58" spans="1:4" x14ac:dyDescent="0.3">
      <c r="A58" s="1">
        <v>45348</v>
      </c>
      <c r="B58">
        <v>27.3</v>
      </c>
      <c r="C58">
        <v>3092</v>
      </c>
      <c r="D58">
        <v>21788.82</v>
      </c>
    </row>
    <row r="59" spans="1:4" x14ac:dyDescent="0.3">
      <c r="A59" s="1">
        <v>45349</v>
      </c>
      <c r="B59">
        <v>30.9</v>
      </c>
      <c r="C59">
        <v>3072</v>
      </c>
      <c r="D59">
        <v>23787.439999999999</v>
      </c>
    </row>
    <row r="60" spans="1:4" x14ac:dyDescent="0.3">
      <c r="A60" s="1">
        <v>45350</v>
      </c>
      <c r="B60">
        <v>35.200000000000003</v>
      </c>
      <c r="C60">
        <v>3103</v>
      </c>
      <c r="D60">
        <v>23828.27</v>
      </c>
    </row>
    <row r="61" spans="1:4" x14ac:dyDescent="0.3">
      <c r="A61" s="1">
        <v>45351</v>
      </c>
      <c r="B61">
        <v>39.6</v>
      </c>
      <c r="C61">
        <v>3169</v>
      </c>
      <c r="D61">
        <v>25000</v>
      </c>
    </row>
    <row r="62" spans="1:4" x14ac:dyDescent="0.3">
      <c r="A62" s="1">
        <v>45352</v>
      </c>
      <c r="B62">
        <v>29.8</v>
      </c>
      <c r="C62">
        <v>2894</v>
      </c>
      <c r="D62">
        <v>22397.43</v>
      </c>
    </row>
    <row r="63" spans="1:4" x14ac:dyDescent="0.3">
      <c r="A63" s="1">
        <v>45353</v>
      </c>
      <c r="B63">
        <v>31.7</v>
      </c>
      <c r="C63">
        <v>2747</v>
      </c>
      <c r="D63">
        <v>21303.57</v>
      </c>
    </row>
    <row r="64" spans="1:4" x14ac:dyDescent="0.3">
      <c r="A64" s="1">
        <v>45354</v>
      </c>
      <c r="B64">
        <v>25.5</v>
      </c>
      <c r="C64">
        <v>2848</v>
      </c>
      <c r="D64">
        <v>20028.330000000002</v>
      </c>
    </row>
    <row r="65" spans="1:4" x14ac:dyDescent="0.3">
      <c r="A65" s="1">
        <v>45355</v>
      </c>
      <c r="B65">
        <v>24.9</v>
      </c>
      <c r="C65">
        <v>2688</v>
      </c>
      <c r="D65">
        <v>21817.96</v>
      </c>
    </row>
    <row r="66" spans="1:4" x14ac:dyDescent="0.3">
      <c r="A66" s="1">
        <v>45356</v>
      </c>
      <c r="B66">
        <v>38.5</v>
      </c>
      <c r="C66">
        <v>3200</v>
      </c>
      <c r="D66">
        <v>23597.75</v>
      </c>
    </row>
    <row r="67" spans="1:4" x14ac:dyDescent="0.3">
      <c r="A67" s="1">
        <v>45357</v>
      </c>
      <c r="B67">
        <v>42.2</v>
      </c>
      <c r="C67">
        <v>3053</v>
      </c>
      <c r="D67">
        <v>22322.49</v>
      </c>
    </row>
    <row r="68" spans="1:4" x14ac:dyDescent="0.3">
      <c r="A68" s="1">
        <v>45358</v>
      </c>
      <c r="B68">
        <v>32.5</v>
      </c>
      <c r="C68">
        <v>2773</v>
      </c>
      <c r="D68">
        <v>21411.81</v>
      </c>
    </row>
    <row r="69" spans="1:4" x14ac:dyDescent="0.3">
      <c r="A69" s="1">
        <v>45359</v>
      </c>
      <c r="B69">
        <v>39.799999999999997</v>
      </c>
      <c r="C69">
        <v>2982</v>
      </c>
      <c r="D69">
        <v>21180.16</v>
      </c>
    </row>
    <row r="70" spans="1:4" x14ac:dyDescent="0.3">
      <c r="A70" s="1">
        <v>45360</v>
      </c>
      <c r="B70">
        <v>35.4</v>
      </c>
      <c r="C70">
        <v>3064</v>
      </c>
      <c r="D70">
        <v>21478.2</v>
      </c>
    </row>
    <row r="71" spans="1:4" x14ac:dyDescent="0.3">
      <c r="A71" s="1">
        <v>45361</v>
      </c>
      <c r="B71">
        <v>28.6</v>
      </c>
      <c r="C71">
        <v>2767</v>
      </c>
      <c r="D71">
        <v>20908.150000000001</v>
      </c>
    </row>
    <row r="72" spans="1:4" x14ac:dyDescent="0.3">
      <c r="A72" s="1">
        <v>45362</v>
      </c>
      <c r="B72">
        <v>35.4</v>
      </c>
      <c r="C72">
        <v>2817</v>
      </c>
      <c r="D72">
        <v>21245.27</v>
      </c>
    </row>
    <row r="73" spans="1:4" x14ac:dyDescent="0.3">
      <c r="A73" s="1">
        <v>45363</v>
      </c>
      <c r="B73">
        <v>43.4</v>
      </c>
      <c r="C73">
        <v>3149</v>
      </c>
      <c r="D73">
        <v>23678.080000000002</v>
      </c>
    </row>
    <row r="74" spans="1:4" x14ac:dyDescent="0.3">
      <c r="A74" s="1">
        <v>45364</v>
      </c>
      <c r="B74">
        <v>32.799999999999997</v>
      </c>
      <c r="C74">
        <v>2990</v>
      </c>
      <c r="D74">
        <v>22987.56</v>
      </c>
    </row>
    <row r="75" spans="1:4" x14ac:dyDescent="0.3">
      <c r="A75" s="1">
        <v>45365</v>
      </c>
      <c r="B75">
        <v>43.6</v>
      </c>
      <c r="C75">
        <v>3002</v>
      </c>
      <c r="D75">
        <v>22760.37</v>
      </c>
    </row>
    <row r="76" spans="1:4" x14ac:dyDescent="0.3">
      <c r="A76" s="1">
        <v>45366</v>
      </c>
      <c r="B76">
        <v>20</v>
      </c>
      <c r="C76">
        <v>2656</v>
      </c>
      <c r="D76">
        <v>20036.03</v>
      </c>
    </row>
    <row r="77" spans="1:4" x14ac:dyDescent="0.3">
      <c r="A77" s="1">
        <v>45367</v>
      </c>
      <c r="B77">
        <v>38.5</v>
      </c>
      <c r="C77">
        <v>3075</v>
      </c>
      <c r="D77">
        <v>22088.84</v>
      </c>
    </row>
    <row r="78" spans="1:4" x14ac:dyDescent="0.3">
      <c r="A78" s="1">
        <v>45368</v>
      </c>
      <c r="B78">
        <v>33.6</v>
      </c>
      <c r="C78">
        <v>2664</v>
      </c>
      <c r="D78">
        <v>19623.939999999999</v>
      </c>
    </row>
    <row r="79" spans="1:4" x14ac:dyDescent="0.3">
      <c r="A79" s="1">
        <v>45369</v>
      </c>
      <c r="B79">
        <v>31</v>
      </c>
      <c r="C79">
        <v>2633</v>
      </c>
      <c r="D79">
        <v>20715.96</v>
      </c>
    </row>
    <row r="80" spans="1:4" x14ac:dyDescent="0.3">
      <c r="A80" s="1">
        <v>45370</v>
      </c>
      <c r="B80">
        <v>33.6</v>
      </c>
      <c r="C80">
        <v>2811</v>
      </c>
      <c r="D80">
        <v>21292.18</v>
      </c>
    </row>
    <row r="81" spans="1:4" x14ac:dyDescent="0.3">
      <c r="A81" s="1">
        <v>45371</v>
      </c>
      <c r="B81">
        <v>20</v>
      </c>
      <c r="C81">
        <v>2707</v>
      </c>
      <c r="D81">
        <v>20371.509999999998</v>
      </c>
    </row>
    <row r="82" spans="1:4" x14ac:dyDescent="0.3">
      <c r="A82" s="1">
        <v>45372</v>
      </c>
      <c r="B82">
        <v>31.5</v>
      </c>
      <c r="C82">
        <v>2985</v>
      </c>
      <c r="D82">
        <v>21712.73</v>
      </c>
    </row>
    <row r="83" spans="1:4" x14ac:dyDescent="0.3">
      <c r="A83" s="1">
        <v>45373</v>
      </c>
      <c r="B83">
        <v>35.4</v>
      </c>
      <c r="C83">
        <v>3200</v>
      </c>
      <c r="D83">
        <v>25000</v>
      </c>
    </row>
    <row r="84" spans="1:4" x14ac:dyDescent="0.3">
      <c r="A84" s="1">
        <v>45374</v>
      </c>
      <c r="B84">
        <v>43</v>
      </c>
      <c r="C84">
        <v>3200</v>
      </c>
      <c r="D84">
        <v>22973.95</v>
      </c>
    </row>
    <row r="85" spans="1:4" x14ac:dyDescent="0.3">
      <c r="A85" s="1">
        <v>45375</v>
      </c>
      <c r="B85">
        <v>29.5</v>
      </c>
      <c r="C85">
        <v>2861</v>
      </c>
      <c r="D85">
        <v>21950.43</v>
      </c>
    </row>
    <row r="86" spans="1:4" x14ac:dyDescent="0.3">
      <c r="A86" s="1">
        <v>45376</v>
      </c>
      <c r="B86">
        <v>27.5</v>
      </c>
      <c r="C86">
        <v>2859</v>
      </c>
      <c r="D86">
        <v>21603.919999999998</v>
      </c>
    </row>
    <row r="87" spans="1:4" x14ac:dyDescent="0.3">
      <c r="A87" s="1">
        <v>45377</v>
      </c>
      <c r="B87">
        <v>29.6</v>
      </c>
      <c r="C87">
        <v>2694</v>
      </c>
      <c r="D87">
        <v>21732.91</v>
      </c>
    </row>
    <row r="88" spans="1:4" x14ac:dyDescent="0.3">
      <c r="A88" s="1">
        <v>45378</v>
      </c>
      <c r="B88">
        <v>39.200000000000003</v>
      </c>
      <c r="C88">
        <v>3034</v>
      </c>
      <c r="D88">
        <v>20974.080000000002</v>
      </c>
    </row>
    <row r="89" spans="1:4" x14ac:dyDescent="0.3">
      <c r="A89" s="1">
        <v>45379</v>
      </c>
      <c r="B89">
        <v>35.200000000000003</v>
      </c>
      <c r="C89">
        <v>2921</v>
      </c>
      <c r="D89">
        <v>22728.98</v>
      </c>
    </row>
    <row r="90" spans="1:4" x14ac:dyDescent="0.3">
      <c r="A90" s="1">
        <v>45380</v>
      </c>
      <c r="B90">
        <v>29.4</v>
      </c>
      <c r="C90">
        <v>2956</v>
      </c>
      <c r="D90">
        <v>23135.77</v>
      </c>
    </row>
    <row r="91" spans="1:4" x14ac:dyDescent="0.3">
      <c r="A91" s="1">
        <v>45381</v>
      </c>
      <c r="B91">
        <v>36.5</v>
      </c>
      <c r="C91">
        <v>2832</v>
      </c>
      <c r="D91">
        <v>21146.720000000001</v>
      </c>
    </row>
    <row r="92" spans="1:4" x14ac:dyDescent="0.3">
      <c r="A92" s="1">
        <v>45382</v>
      </c>
      <c r="B92">
        <v>33.700000000000003</v>
      </c>
      <c r="C92">
        <v>3059</v>
      </c>
      <c r="D92">
        <v>23225.360000000001</v>
      </c>
    </row>
    <row r="93" spans="1:4" x14ac:dyDescent="0.3">
      <c r="A93" s="1">
        <v>45383</v>
      </c>
      <c r="B93">
        <v>39.5</v>
      </c>
      <c r="C93">
        <v>3200</v>
      </c>
      <c r="D93">
        <v>25000</v>
      </c>
    </row>
    <row r="94" spans="1:4" x14ac:dyDescent="0.3">
      <c r="A94" s="1">
        <v>45384</v>
      </c>
      <c r="B94">
        <v>28.3</v>
      </c>
      <c r="C94">
        <v>2852</v>
      </c>
      <c r="D94">
        <v>22691.3</v>
      </c>
    </row>
    <row r="95" spans="1:4" x14ac:dyDescent="0.3">
      <c r="A95" s="1">
        <v>45385</v>
      </c>
      <c r="B95">
        <v>30.8</v>
      </c>
      <c r="C95">
        <v>2992</v>
      </c>
      <c r="D95">
        <v>21115.02</v>
      </c>
    </row>
    <row r="96" spans="1:4" x14ac:dyDescent="0.3">
      <c r="A96" s="1">
        <v>45386</v>
      </c>
      <c r="B96">
        <v>30.4</v>
      </c>
      <c r="C96">
        <v>3043</v>
      </c>
      <c r="D96">
        <v>22638.47</v>
      </c>
    </row>
    <row r="97" spans="1:4" x14ac:dyDescent="0.3">
      <c r="A97" s="1">
        <v>45387</v>
      </c>
      <c r="B97">
        <v>23.1</v>
      </c>
      <c r="C97">
        <v>2717</v>
      </c>
      <c r="D97">
        <v>20903.150000000001</v>
      </c>
    </row>
    <row r="98" spans="1:4" x14ac:dyDescent="0.3">
      <c r="A98" s="1">
        <v>45388</v>
      </c>
      <c r="B98">
        <v>35</v>
      </c>
      <c r="C98">
        <v>3020</v>
      </c>
      <c r="D98">
        <v>22144.76</v>
      </c>
    </row>
    <row r="99" spans="1:4" x14ac:dyDescent="0.3">
      <c r="A99" s="1">
        <v>45389</v>
      </c>
      <c r="B99">
        <v>34.799999999999997</v>
      </c>
      <c r="C99">
        <v>2974</v>
      </c>
      <c r="D99">
        <v>23324.65</v>
      </c>
    </row>
    <row r="100" spans="1:4" x14ac:dyDescent="0.3">
      <c r="A100" s="1">
        <v>45390</v>
      </c>
      <c r="B100">
        <v>33</v>
      </c>
      <c r="C100">
        <v>2965</v>
      </c>
      <c r="D100">
        <v>23626.86</v>
      </c>
    </row>
    <row r="101" spans="1:4" x14ac:dyDescent="0.3">
      <c r="A101" s="1">
        <v>45391</v>
      </c>
      <c r="B101">
        <v>31.4</v>
      </c>
      <c r="C101">
        <v>2767</v>
      </c>
      <c r="D101">
        <v>21172.18</v>
      </c>
    </row>
    <row r="102" spans="1:4" x14ac:dyDescent="0.3">
      <c r="A102" s="1">
        <v>45392</v>
      </c>
      <c r="B102">
        <v>23.4</v>
      </c>
      <c r="C102">
        <v>2807</v>
      </c>
      <c r="D102">
        <v>21688.26</v>
      </c>
    </row>
    <row r="103" spans="1:4" x14ac:dyDescent="0.3">
      <c r="A103" s="1">
        <v>45393</v>
      </c>
      <c r="B103">
        <v>30.2</v>
      </c>
      <c r="C103">
        <v>3002</v>
      </c>
      <c r="D103">
        <v>22251.88</v>
      </c>
    </row>
    <row r="104" spans="1:4" x14ac:dyDescent="0.3">
      <c r="A104" s="1">
        <v>45394</v>
      </c>
      <c r="B104">
        <v>30.7</v>
      </c>
      <c r="C104">
        <v>3200</v>
      </c>
      <c r="D104">
        <v>25000</v>
      </c>
    </row>
    <row r="105" spans="1:4" x14ac:dyDescent="0.3">
      <c r="A105" s="1">
        <v>45395</v>
      </c>
      <c r="B105">
        <v>27.6</v>
      </c>
      <c r="C105">
        <v>3056</v>
      </c>
      <c r="D105">
        <v>23761.82</v>
      </c>
    </row>
    <row r="106" spans="1:4" x14ac:dyDescent="0.3">
      <c r="A106" s="1">
        <v>45396</v>
      </c>
      <c r="B106">
        <v>31.9</v>
      </c>
      <c r="C106">
        <v>3200</v>
      </c>
      <c r="D106">
        <v>22941.85</v>
      </c>
    </row>
    <row r="107" spans="1:4" x14ac:dyDescent="0.3">
      <c r="A107" s="1">
        <v>45397</v>
      </c>
      <c r="B107">
        <v>35.700000000000003</v>
      </c>
      <c r="C107">
        <v>2832</v>
      </c>
      <c r="D107">
        <v>22599.05</v>
      </c>
    </row>
    <row r="108" spans="1:4" x14ac:dyDescent="0.3">
      <c r="A108" s="1">
        <v>45398</v>
      </c>
      <c r="B108">
        <v>45.7</v>
      </c>
      <c r="C108">
        <v>3200</v>
      </c>
      <c r="D108">
        <v>25000</v>
      </c>
    </row>
    <row r="109" spans="1:4" x14ac:dyDescent="0.3">
      <c r="A109" s="1">
        <v>45399</v>
      </c>
      <c r="B109">
        <v>34.200000000000003</v>
      </c>
      <c r="C109">
        <v>2999</v>
      </c>
      <c r="D109">
        <v>23554.1</v>
      </c>
    </row>
    <row r="110" spans="1:4" x14ac:dyDescent="0.3">
      <c r="A110" s="1">
        <v>45400</v>
      </c>
      <c r="B110">
        <v>34.700000000000003</v>
      </c>
      <c r="C110">
        <v>3200</v>
      </c>
      <c r="D110">
        <v>24203.61</v>
      </c>
    </row>
    <row r="111" spans="1:4" x14ac:dyDescent="0.3">
      <c r="A111" s="1">
        <v>45401</v>
      </c>
      <c r="B111">
        <v>32.5</v>
      </c>
      <c r="C111">
        <v>2776</v>
      </c>
      <c r="D111">
        <v>20140.48</v>
      </c>
    </row>
    <row r="112" spans="1:4" x14ac:dyDescent="0.3">
      <c r="A112" s="1">
        <v>45402</v>
      </c>
      <c r="B112">
        <v>20</v>
      </c>
      <c r="C112">
        <v>2583</v>
      </c>
      <c r="D112">
        <v>17532.79</v>
      </c>
    </row>
    <row r="113" spans="1:4" x14ac:dyDescent="0.3">
      <c r="A113" s="1">
        <v>45403</v>
      </c>
      <c r="B113">
        <v>32.799999999999997</v>
      </c>
      <c r="C113">
        <v>2822</v>
      </c>
      <c r="D113">
        <v>20334.46</v>
      </c>
    </row>
    <row r="114" spans="1:4" x14ac:dyDescent="0.3">
      <c r="A114" s="1">
        <v>45404</v>
      </c>
      <c r="B114">
        <v>33.4</v>
      </c>
      <c r="C114">
        <v>2526</v>
      </c>
      <c r="D114">
        <v>19693.439999999999</v>
      </c>
    </row>
    <row r="115" spans="1:4" x14ac:dyDescent="0.3">
      <c r="A115" s="1">
        <v>45405</v>
      </c>
      <c r="B115">
        <v>49.6</v>
      </c>
      <c r="C115">
        <v>3089</v>
      </c>
      <c r="D115">
        <v>22534.59</v>
      </c>
    </row>
    <row r="116" spans="1:4" x14ac:dyDescent="0.3">
      <c r="A116" s="1">
        <v>45406</v>
      </c>
      <c r="B116">
        <v>31.7</v>
      </c>
      <c r="C116">
        <v>2774</v>
      </c>
      <c r="D116">
        <v>20084.32</v>
      </c>
    </row>
    <row r="117" spans="1:4" x14ac:dyDescent="0.3">
      <c r="A117" s="1">
        <v>45407</v>
      </c>
      <c r="B117">
        <v>35</v>
      </c>
      <c r="C117">
        <v>3006</v>
      </c>
      <c r="D117">
        <v>22350.79</v>
      </c>
    </row>
    <row r="118" spans="1:4" x14ac:dyDescent="0.3">
      <c r="A118" s="1">
        <v>45408</v>
      </c>
      <c r="B118">
        <v>32.799999999999997</v>
      </c>
      <c r="C118">
        <v>3010</v>
      </c>
      <c r="D118">
        <v>22679.35</v>
      </c>
    </row>
    <row r="119" spans="1:4" x14ac:dyDescent="0.3">
      <c r="A119" s="1">
        <v>45409</v>
      </c>
      <c r="B119">
        <v>25.1</v>
      </c>
      <c r="C119">
        <v>3200</v>
      </c>
      <c r="D119">
        <v>25000</v>
      </c>
    </row>
    <row r="120" spans="1:4" x14ac:dyDescent="0.3">
      <c r="A120" s="1">
        <v>45410</v>
      </c>
      <c r="B120">
        <v>40.700000000000003</v>
      </c>
      <c r="C120">
        <v>3200</v>
      </c>
      <c r="D120">
        <v>24771.77</v>
      </c>
    </row>
    <row r="121" spans="1:4" x14ac:dyDescent="0.3">
      <c r="A121" s="1">
        <v>45411</v>
      </c>
      <c r="B121">
        <v>38.1</v>
      </c>
      <c r="C121">
        <v>2906</v>
      </c>
      <c r="D121">
        <v>21084.81</v>
      </c>
    </row>
    <row r="122" spans="1:4" x14ac:dyDescent="0.3">
      <c r="A122" s="1">
        <v>45412</v>
      </c>
      <c r="B122">
        <v>38.299999999999997</v>
      </c>
      <c r="C122">
        <v>2845</v>
      </c>
      <c r="D122">
        <v>21768.47</v>
      </c>
    </row>
    <row r="123" spans="1:4" x14ac:dyDescent="0.3">
      <c r="A123" s="1">
        <v>45413</v>
      </c>
      <c r="B123">
        <v>26.9</v>
      </c>
      <c r="C123">
        <v>2951</v>
      </c>
      <c r="D123">
        <v>22513.58</v>
      </c>
    </row>
    <row r="124" spans="1:4" x14ac:dyDescent="0.3">
      <c r="A124" s="1">
        <v>45414</v>
      </c>
      <c r="B124">
        <v>42.5</v>
      </c>
      <c r="C124">
        <v>2823</v>
      </c>
      <c r="D124">
        <v>20736.009999999998</v>
      </c>
    </row>
    <row r="125" spans="1:4" x14ac:dyDescent="0.3">
      <c r="A125" s="1">
        <v>45415</v>
      </c>
      <c r="B125">
        <v>23.5</v>
      </c>
      <c r="C125">
        <v>3169</v>
      </c>
      <c r="D125">
        <v>24540.13</v>
      </c>
    </row>
    <row r="126" spans="1:4" x14ac:dyDescent="0.3">
      <c r="A126" s="1">
        <v>45416</v>
      </c>
      <c r="B126">
        <v>37</v>
      </c>
      <c r="C126">
        <v>3200</v>
      </c>
      <c r="D126">
        <v>23142.71</v>
      </c>
    </row>
    <row r="127" spans="1:4" x14ac:dyDescent="0.3">
      <c r="A127" s="1">
        <v>45417</v>
      </c>
      <c r="B127">
        <v>47.8</v>
      </c>
      <c r="C127">
        <v>3073</v>
      </c>
      <c r="D127">
        <v>21873.39</v>
      </c>
    </row>
    <row r="128" spans="1:4" x14ac:dyDescent="0.3">
      <c r="A128" s="1">
        <v>45418</v>
      </c>
      <c r="B128">
        <v>26.3</v>
      </c>
      <c r="C128">
        <v>2502</v>
      </c>
      <c r="D128">
        <v>19056.240000000002</v>
      </c>
    </row>
    <row r="129" spans="1:4" x14ac:dyDescent="0.3">
      <c r="A129" s="1">
        <v>45419</v>
      </c>
      <c r="B129">
        <v>29.2</v>
      </c>
      <c r="C129">
        <v>3158</v>
      </c>
      <c r="D129">
        <v>23983.32</v>
      </c>
    </row>
    <row r="130" spans="1:4" x14ac:dyDescent="0.3">
      <c r="A130" s="1">
        <v>45420</v>
      </c>
      <c r="B130">
        <v>33.700000000000003</v>
      </c>
      <c r="C130">
        <v>2932</v>
      </c>
      <c r="D130">
        <v>23616.57</v>
      </c>
    </row>
    <row r="131" spans="1:4" x14ac:dyDescent="0.3">
      <c r="A131" s="1">
        <v>45421</v>
      </c>
      <c r="B131">
        <v>29.6</v>
      </c>
      <c r="C131">
        <v>3142</v>
      </c>
      <c r="D131">
        <v>23386.28</v>
      </c>
    </row>
    <row r="132" spans="1:4" x14ac:dyDescent="0.3">
      <c r="A132" s="1">
        <v>45422</v>
      </c>
      <c r="B132">
        <v>22.5</v>
      </c>
      <c r="C132">
        <v>2469</v>
      </c>
      <c r="D132">
        <v>19249.810000000001</v>
      </c>
    </row>
    <row r="133" spans="1:4" x14ac:dyDescent="0.3">
      <c r="A133" s="1">
        <v>45423</v>
      </c>
      <c r="B133">
        <v>33.5</v>
      </c>
      <c r="C133">
        <v>2832</v>
      </c>
      <c r="D133">
        <v>22199.22</v>
      </c>
    </row>
    <row r="134" spans="1:4" x14ac:dyDescent="0.3">
      <c r="A134" s="1">
        <v>45424</v>
      </c>
      <c r="B134">
        <v>25.8</v>
      </c>
      <c r="C134">
        <v>2838</v>
      </c>
      <c r="D134">
        <v>20594.240000000002</v>
      </c>
    </row>
    <row r="135" spans="1:4" x14ac:dyDescent="0.3">
      <c r="A135" s="1">
        <v>45425</v>
      </c>
      <c r="B135">
        <v>36.200000000000003</v>
      </c>
      <c r="C135">
        <v>3002</v>
      </c>
      <c r="D135">
        <v>23330.29</v>
      </c>
    </row>
    <row r="136" spans="1:4" x14ac:dyDescent="0.3">
      <c r="A136" s="1">
        <v>45426</v>
      </c>
      <c r="B136">
        <v>26.8</v>
      </c>
      <c r="C136">
        <v>2762</v>
      </c>
      <c r="D136">
        <v>19742.18</v>
      </c>
    </row>
    <row r="137" spans="1:4" x14ac:dyDescent="0.3">
      <c r="A137" s="1">
        <v>45427</v>
      </c>
      <c r="B137">
        <v>43.5</v>
      </c>
      <c r="C137">
        <v>3200</v>
      </c>
      <c r="D137">
        <v>25000</v>
      </c>
    </row>
    <row r="138" spans="1:4" x14ac:dyDescent="0.3">
      <c r="A138" s="1">
        <v>45428</v>
      </c>
      <c r="B138">
        <v>27.7</v>
      </c>
      <c r="C138">
        <v>2652</v>
      </c>
      <c r="D138">
        <v>19561.509999999998</v>
      </c>
    </row>
    <row r="139" spans="1:4" x14ac:dyDescent="0.3">
      <c r="A139" s="1">
        <v>45429</v>
      </c>
      <c r="B139">
        <v>30.8</v>
      </c>
      <c r="C139">
        <v>2884</v>
      </c>
      <c r="D139">
        <v>20975.31</v>
      </c>
    </row>
    <row r="140" spans="1:4" x14ac:dyDescent="0.3">
      <c r="A140" s="1">
        <v>45430</v>
      </c>
      <c r="B140">
        <v>38.5</v>
      </c>
      <c r="C140">
        <v>3051</v>
      </c>
      <c r="D140">
        <v>21801.74</v>
      </c>
    </row>
    <row r="141" spans="1:4" x14ac:dyDescent="0.3">
      <c r="A141" s="1">
        <v>45431</v>
      </c>
      <c r="B141">
        <v>24.7</v>
      </c>
      <c r="C141">
        <v>2923</v>
      </c>
      <c r="D141">
        <v>23178.19</v>
      </c>
    </row>
    <row r="142" spans="1:4" x14ac:dyDescent="0.3">
      <c r="A142" s="1">
        <v>45432</v>
      </c>
      <c r="B142">
        <v>34.5</v>
      </c>
      <c r="C142">
        <v>3110</v>
      </c>
      <c r="D142">
        <v>23346.2</v>
      </c>
    </row>
    <row r="143" spans="1:4" x14ac:dyDescent="0.3">
      <c r="A143" s="1">
        <v>45433</v>
      </c>
      <c r="B143">
        <v>41.8</v>
      </c>
      <c r="C143">
        <v>2852</v>
      </c>
      <c r="D143">
        <v>22301.26</v>
      </c>
    </row>
    <row r="144" spans="1:4" x14ac:dyDescent="0.3">
      <c r="A144" s="1">
        <v>45434</v>
      </c>
      <c r="B144">
        <v>22.1</v>
      </c>
      <c r="C144">
        <v>2475</v>
      </c>
      <c r="D144">
        <v>17586.560000000001</v>
      </c>
    </row>
    <row r="145" spans="1:4" x14ac:dyDescent="0.3">
      <c r="A145" s="1">
        <v>45435</v>
      </c>
      <c r="B145">
        <v>34.200000000000003</v>
      </c>
      <c r="C145">
        <v>3200</v>
      </c>
      <c r="D145">
        <v>24823.09</v>
      </c>
    </row>
    <row r="146" spans="1:4" x14ac:dyDescent="0.3">
      <c r="A146" s="1">
        <v>45436</v>
      </c>
      <c r="B146">
        <v>34.799999999999997</v>
      </c>
      <c r="C146">
        <v>3038</v>
      </c>
      <c r="D146">
        <v>21223.77</v>
      </c>
    </row>
    <row r="147" spans="1:4" x14ac:dyDescent="0.3">
      <c r="A147" s="1">
        <v>45437</v>
      </c>
      <c r="B147">
        <v>38.299999999999997</v>
      </c>
      <c r="C147">
        <v>2874</v>
      </c>
      <c r="D147">
        <v>23072.13</v>
      </c>
    </row>
    <row r="148" spans="1:4" x14ac:dyDescent="0.3">
      <c r="A148" s="1">
        <v>45438</v>
      </c>
      <c r="B148">
        <v>24.7</v>
      </c>
      <c r="C148">
        <v>3130</v>
      </c>
      <c r="D148">
        <v>22874.83</v>
      </c>
    </row>
    <row r="149" spans="1:4" x14ac:dyDescent="0.3">
      <c r="A149" s="1">
        <v>45439</v>
      </c>
      <c r="B149">
        <v>24.1</v>
      </c>
      <c r="C149">
        <v>2834</v>
      </c>
      <c r="D149">
        <v>21460.04</v>
      </c>
    </row>
    <row r="150" spans="1:4" x14ac:dyDescent="0.3">
      <c r="A150" s="1">
        <v>45440</v>
      </c>
      <c r="B150">
        <v>36.5</v>
      </c>
      <c r="C150">
        <v>3200</v>
      </c>
      <c r="D150">
        <v>22363.07</v>
      </c>
    </row>
    <row r="151" spans="1:4" x14ac:dyDescent="0.3">
      <c r="A151" s="1">
        <v>45441</v>
      </c>
      <c r="B151">
        <v>35</v>
      </c>
      <c r="C151">
        <v>2989</v>
      </c>
      <c r="D151">
        <v>22443.58</v>
      </c>
    </row>
    <row r="152" spans="1:4" x14ac:dyDescent="0.3">
      <c r="A152" s="1">
        <v>45442</v>
      </c>
      <c r="B152">
        <v>34.700000000000003</v>
      </c>
      <c r="C152">
        <v>3200</v>
      </c>
      <c r="D152">
        <v>24332.18</v>
      </c>
    </row>
    <row r="153" spans="1:4" x14ac:dyDescent="0.3">
      <c r="A153" s="1">
        <v>45443</v>
      </c>
      <c r="B153">
        <v>35.299999999999997</v>
      </c>
      <c r="C153">
        <v>3200</v>
      </c>
      <c r="D153">
        <v>23398.99</v>
      </c>
    </row>
    <row r="154" spans="1:4" x14ac:dyDescent="0.3">
      <c r="A154" s="1">
        <v>45444</v>
      </c>
      <c r="B154">
        <v>28.4</v>
      </c>
      <c r="C154">
        <v>2826</v>
      </c>
      <c r="D154">
        <v>21925.99</v>
      </c>
    </row>
    <row r="155" spans="1:4" x14ac:dyDescent="0.3">
      <c r="A155" s="1">
        <v>45445</v>
      </c>
      <c r="B155">
        <v>34.6</v>
      </c>
      <c r="C155">
        <v>3163</v>
      </c>
      <c r="D155">
        <v>23714.26</v>
      </c>
    </row>
    <row r="156" spans="1:4" x14ac:dyDescent="0.3">
      <c r="A156" s="1">
        <v>45446</v>
      </c>
      <c r="B156">
        <v>35</v>
      </c>
      <c r="C156">
        <v>3104</v>
      </c>
      <c r="D156">
        <v>23659.66</v>
      </c>
    </row>
    <row r="157" spans="1:4" x14ac:dyDescent="0.3">
      <c r="A157" s="1">
        <v>45447</v>
      </c>
      <c r="B157">
        <v>28.2</v>
      </c>
      <c r="C157">
        <v>3146</v>
      </c>
      <c r="D157">
        <v>23501.94</v>
      </c>
    </row>
    <row r="158" spans="1:4" x14ac:dyDescent="0.3">
      <c r="A158" s="1">
        <v>45448</v>
      </c>
      <c r="B158">
        <v>45.6</v>
      </c>
      <c r="C158">
        <v>2941</v>
      </c>
      <c r="D158">
        <v>21542.43</v>
      </c>
    </row>
    <row r="159" spans="1:4" x14ac:dyDescent="0.3">
      <c r="A159" s="1">
        <v>45449</v>
      </c>
      <c r="B159">
        <v>36.200000000000003</v>
      </c>
      <c r="C159">
        <v>3130</v>
      </c>
      <c r="D159">
        <v>23758.720000000001</v>
      </c>
    </row>
    <row r="160" spans="1:4" x14ac:dyDescent="0.3">
      <c r="A160" s="1">
        <v>45450</v>
      </c>
      <c r="B160">
        <v>25</v>
      </c>
      <c r="C160">
        <v>3036</v>
      </c>
      <c r="D160">
        <v>22260.13</v>
      </c>
    </row>
    <row r="161" spans="1:4" x14ac:dyDescent="0.3">
      <c r="A161" s="1">
        <v>45451</v>
      </c>
      <c r="B161">
        <v>37.4</v>
      </c>
      <c r="C161">
        <v>2660</v>
      </c>
      <c r="D161">
        <v>18590.669999999998</v>
      </c>
    </row>
    <row r="162" spans="1:4" x14ac:dyDescent="0.3">
      <c r="A162" s="1">
        <v>45452</v>
      </c>
      <c r="B162">
        <v>26.4</v>
      </c>
      <c r="C162">
        <v>2610</v>
      </c>
      <c r="D162">
        <v>20585.75</v>
      </c>
    </row>
    <row r="163" spans="1:4" x14ac:dyDescent="0.3">
      <c r="A163" s="1">
        <v>45453</v>
      </c>
      <c r="B163">
        <v>38.299999999999997</v>
      </c>
      <c r="C163">
        <v>2617</v>
      </c>
      <c r="D163">
        <v>20444.919999999998</v>
      </c>
    </row>
    <row r="164" spans="1:4" x14ac:dyDescent="0.3">
      <c r="A164" s="1">
        <v>45454</v>
      </c>
      <c r="B164">
        <v>40.799999999999997</v>
      </c>
      <c r="C164">
        <v>3008</v>
      </c>
      <c r="D164">
        <v>22776.44</v>
      </c>
    </row>
    <row r="165" spans="1:4" x14ac:dyDescent="0.3">
      <c r="A165" s="1">
        <v>45455</v>
      </c>
      <c r="B165">
        <v>27.5</v>
      </c>
      <c r="C165">
        <v>3005</v>
      </c>
      <c r="D165">
        <v>21086.99</v>
      </c>
    </row>
    <row r="166" spans="1:4" x14ac:dyDescent="0.3">
      <c r="A166" s="1">
        <v>45456</v>
      </c>
      <c r="B166">
        <v>39.5</v>
      </c>
      <c r="C166">
        <v>3200</v>
      </c>
      <c r="D166">
        <v>24181.34</v>
      </c>
    </row>
    <row r="167" spans="1:4" x14ac:dyDescent="0.3">
      <c r="A167" s="1">
        <v>45457</v>
      </c>
      <c r="B167">
        <v>35.799999999999997</v>
      </c>
      <c r="C167">
        <v>3002</v>
      </c>
      <c r="D167">
        <v>22429.63</v>
      </c>
    </row>
    <row r="168" spans="1:4" x14ac:dyDescent="0.3">
      <c r="A168" s="1">
        <v>45458</v>
      </c>
      <c r="B168">
        <v>38.5</v>
      </c>
      <c r="C168">
        <v>3200</v>
      </c>
      <c r="D168">
        <v>23264</v>
      </c>
    </row>
    <row r="169" spans="1:4" x14ac:dyDescent="0.3">
      <c r="A169" s="1">
        <v>45459</v>
      </c>
      <c r="B169">
        <v>45.8</v>
      </c>
      <c r="C169">
        <v>2861</v>
      </c>
      <c r="D169">
        <v>20440.88</v>
      </c>
    </row>
    <row r="170" spans="1:4" x14ac:dyDescent="0.3">
      <c r="A170" s="1">
        <v>45460</v>
      </c>
      <c r="B170">
        <v>31.3</v>
      </c>
      <c r="C170">
        <v>2579</v>
      </c>
      <c r="D170">
        <v>19621.89</v>
      </c>
    </row>
    <row r="171" spans="1:4" x14ac:dyDescent="0.3">
      <c r="A171" s="1">
        <v>45461</v>
      </c>
      <c r="B171">
        <v>27.9</v>
      </c>
      <c r="C171">
        <v>2858</v>
      </c>
      <c r="D171">
        <v>22829.78</v>
      </c>
    </row>
    <row r="172" spans="1:4" x14ac:dyDescent="0.3">
      <c r="A172" s="1">
        <v>45462</v>
      </c>
      <c r="B172">
        <v>27</v>
      </c>
      <c r="C172">
        <v>2932</v>
      </c>
      <c r="D172">
        <v>19879.439999999999</v>
      </c>
    </row>
    <row r="173" spans="1:4" x14ac:dyDescent="0.3">
      <c r="A173" s="1">
        <v>45463</v>
      </c>
      <c r="B173">
        <v>27.5</v>
      </c>
      <c r="C173">
        <v>2856</v>
      </c>
      <c r="D173">
        <v>19526.55</v>
      </c>
    </row>
    <row r="174" spans="1:4" x14ac:dyDescent="0.3">
      <c r="A174" s="1">
        <v>45464</v>
      </c>
      <c r="B174">
        <v>32.5</v>
      </c>
      <c r="C174">
        <v>2524</v>
      </c>
      <c r="D174">
        <v>18471.240000000002</v>
      </c>
    </row>
    <row r="175" spans="1:4" x14ac:dyDescent="0.3">
      <c r="A175" s="1">
        <v>45465</v>
      </c>
      <c r="B175">
        <v>35.299999999999997</v>
      </c>
      <c r="C175">
        <v>2962</v>
      </c>
      <c r="D175">
        <v>22473.119999999999</v>
      </c>
    </row>
    <row r="176" spans="1:4" x14ac:dyDescent="0.3">
      <c r="A176" s="1">
        <v>45466</v>
      </c>
      <c r="B176">
        <v>34.9</v>
      </c>
      <c r="C176">
        <v>2712</v>
      </c>
      <c r="D176">
        <v>18526.84</v>
      </c>
    </row>
    <row r="177" spans="1:4" x14ac:dyDescent="0.3">
      <c r="A177" s="1">
        <v>45467</v>
      </c>
      <c r="B177">
        <v>38.6</v>
      </c>
      <c r="C177">
        <v>3163</v>
      </c>
      <c r="D177">
        <v>22824.47</v>
      </c>
    </row>
    <row r="178" spans="1:4" x14ac:dyDescent="0.3">
      <c r="A178" s="1">
        <v>45468</v>
      </c>
      <c r="B178">
        <v>33.1</v>
      </c>
      <c r="C178">
        <v>3020</v>
      </c>
      <c r="D178">
        <v>23677.65</v>
      </c>
    </row>
    <row r="179" spans="1:4" x14ac:dyDescent="0.3">
      <c r="A179" s="1">
        <v>45469</v>
      </c>
      <c r="B179">
        <v>42.8</v>
      </c>
      <c r="C179">
        <v>2904</v>
      </c>
      <c r="D179">
        <v>20564.45</v>
      </c>
    </row>
    <row r="180" spans="1:4" x14ac:dyDescent="0.3">
      <c r="A180" s="1">
        <v>45470</v>
      </c>
      <c r="B180">
        <v>31.2</v>
      </c>
      <c r="C180">
        <v>2815</v>
      </c>
      <c r="D180">
        <v>20902.330000000002</v>
      </c>
    </row>
    <row r="181" spans="1:4" x14ac:dyDescent="0.3">
      <c r="A181" s="1">
        <v>45471</v>
      </c>
      <c r="B181">
        <v>50</v>
      </c>
      <c r="C181">
        <v>2988</v>
      </c>
      <c r="D181">
        <v>22063.919999999998</v>
      </c>
    </row>
    <row r="182" spans="1:4" x14ac:dyDescent="0.3">
      <c r="A182" s="1">
        <v>45472</v>
      </c>
      <c r="B182">
        <v>37.200000000000003</v>
      </c>
      <c r="C182">
        <v>2996</v>
      </c>
      <c r="D182">
        <v>21595.03</v>
      </c>
    </row>
    <row r="183" spans="1:4" x14ac:dyDescent="0.3">
      <c r="A183" s="1">
        <v>45473</v>
      </c>
      <c r="B183">
        <v>27.2</v>
      </c>
      <c r="C183">
        <v>3049</v>
      </c>
      <c r="D183">
        <v>22034.84</v>
      </c>
    </row>
    <row r="184" spans="1:4" x14ac:dyDescent="0.3">
      <c r="A184" s="1">
        <v>45474</v>
      </c>
      <c r="B184">
        <v>25.8</v>
      </c>
      <c r="C184">
        <v>2639</v>
      </c>
      <c r="D184">
        <v>21302.38</v>
      </c>
    </row>
    <row r="185" spans="1:4" x14ac:dyDescent="0.3">
      <c r="A185" s="1">
        <v>45475</v>
      </c>
      <c r="B185">
        <v>36.299999999999997</v>
      </c>
      <c r="C185">
        <v>3095</v>
      </c>
      <c r="D185">
        <v>23778.34</v>
      </c>
    </row>
    <row r="186" spans="1:4" x14ac:dyDescent="0.3">
      <c r="A186" s="1">
        <v>45476</v>
      </c>
      <c r="B186">
        <v>31.5</v>
      </c>
      <c r="C186">
        <v>2816</v>
      </c>
      <c r="D186">
        <v>21287.14</v>
      </c>
    </row>
    <row r="187" spans="1:4" x14ac:dyDescent="0.3">
      <c r="A187" s="1">
        <v>45477</v>
      </c>
      <c r="B187">
        <v>37.799999999999997</v>
      </c>
      <c r="C187">
        <v>2859</v>
      </c>
      <c r="D187">
        <v>20802.59</v>
      </c>
    </row>
    <row r="188" spans="1:4" x14ac:dyDescent="0.3">
      <c r="A188" s="1">
        <v>45478</v>
      </c>
      <c r="B188">
        <v>36.200000000000003</v>
      </c>
      <c r="C188">
        <v>2972</v>
      </c>
      <c r="D188">
        <v>22766.76</v>
      </c>
    </row>
    <row r="189" spans="1:4" x14ac:dyDescent="0.3">
      <c r="A189" s="1">
        <v>45479</v>
      </c>
      <c r="B189">
        <v>32.5</v>
      </c>
      <c r="C189">
        <v>2731</v>
      </c>
      <c r="D189">
        <v>19798.48</v>
      </c>
    </row>
    <row r="190" spans="1:4" x14ac:dyDescent="0.3">
      <c r="A190" s="1">
        <v>45480</v>
      </c>
      <c r="B190">
        <v>27.3</v>
      </c>
      <c r="C190">
        <v>2749</v>
      </c>
      <c r="D190">
        <v>19928.25</v>
      </c>
    </row>
    <row r="191" spans="1:4" x14ac:dyDescent="0.3">
      <c r="A191" s="1">
        <v>45481</v>
      </c>
      <c r="B191">
        <v>22.8</v>
      </c>
      <c r="C191">
        <v>2552</v>
      </c>
      <c r="D191">
        <v>20327.48</v>
      </c>
    </row>
    <row r="192" spans="1:4" x14ac:dyDescent="0.3">
      <c r="A192" s="1">
        <v>45482</v>
      </c>
      <c r="B192">
        <v>30</v>
      </c>
      <c r="C192">
        <v>3200</v>
      </c>
      <c r="D192">
        <v>21815.84</v>
      </c>
    </row>
    <row r="193" spans="1:4" x14ac:dyDescent="0.3">
      <c r="A193" s="1">
        <v>45483</v>
      </c>
      <c r="B193">
        <v>38.799999999999997</v>
      </c>
      <c r="C193">
        <v>3039</v>
      </c>
      <c r="D193">
        <v>22254.74</v>
      </c>
    </row>
    <row r="194" spans="1:4" x14ac:dyDescent="0.3">
      <c r="A194" s="1">
        <v>45484</v>
      </c>
      <c r="B194">
        <v>34.4</v>
      </c>
      <c r="C194">
        <v>2827</v>
      </c>
      <c r="D194">
        <v>20335.62</v>
      </c>
    </row>
    <row r="195" spans="1:4" x14ac:dyDescent="0.3">
      <c r="A195" s="1">
        <v>45485</v>
      </c>
      <c r="B195">
        <v>24.6</v>
      </c>
      <c r="C195">
        <v>2862</v>
      </c>
      <c r="D195">
        <v>20668.580000000002</v>
      </c>
    </row>
    <row r="196" spans="1:4" x14ac:dyDescent="0.3">
      <c r="A196" s="1">
        <v>45486</v>
      </c>
      <c r="B196">
        <v>34.200000000000003</v>
      </c>
      <c r="C196">
        <v>2940</v>
      </c>
      <c r="D196">
        <v>21284.78</v>
      </c>
    </row>
    <row r="197" spans="1:4" x14ac:dyDescent="0.3">
      <c r="A197" s="1">
        <v>45487</v>
      </c>
      <c r="B197">
        <v>35.6</v>
      </c>
      <c r="C197">
        <v>2940</v>
      </c>
      <c r="D197">
        <v>22522.52</v>
      </c>
    </row>
    <row r="198" spans="1:4" x14ac:dyDescent="0.3">
      <c r="A198" s="1">
        <v>45488</v>
      </c>
      <c r="B198">
        <v>27</v>
      </c>
      <c r="C198">
        <v>2978</v>
      </c>
      <c r="D198">
        <v>22385.89</v>
      </c>
    </row>
    <row r="199" spans="1:4" x14ac:dyDescent="0.3">
      <c r="A199" s="1">
        <v>45489</v>
      </c>
      <c r="B199">
        <v>34</v>
      </c>
      <c r="C199">
        <v>3112</v>
      </c>
      <c r="D199">
        <v>24785.85</v>
      </c>
    </row>
    <row r="200" spans="1:4" x14ac:dyDescent="0.3">
      <c r="A200" s="1">
        <v>45490</v>
      </c>
      <c r="B200">
        <v>33.4</v>
      </c>
      <c r="C200">
        <v>2845</v>
      </c>
      <c r="D200">
        <v>22561.99</v>
      </c>
    </row>
    <row r="201" spans="1:4" x14ac:dyDescent="0.3">
      <c r="A201" s="1">
        <v>45491</v>
      </c>
      <c r="B201">
        <v>25.3</v>
      </c>
      <c r="C201">
        <v>2714</v>
      </c>
      <c r="D201">
        <v>20590.27</v>
      </c>
    </row>
    <row r="202" spans="1:4" x14ac:dyDescent="0.3">
      <c r="A202" s="1">
        <v>45492</v>
      </c>
      <c r="B202">
        <v>35.4</v>
      </c>
      <c r="C202">
        <v>2926</v>
      </c>
      <c r="D202">
        <v>21339.33</v>
      </c>
    </row>
    <row r="203" spans="1:4" x14ac:dyDescent="0.3">
      <c r="A203" s="1">
        <v>45493</v>
      </c>
      <c r="B203">
        <v>36.799999999999997</v>
      </c>
      <c r="C203">
        <v>2541</v>
      </c>
      <c r="D203">
        <v>19106.3</v>
      </c>
    </row>
    <row r="204" spans="1:4" x14ac:dyDescent="0.3">
      <c r="A204" s="1">
        <v>45494</v>
      </c>
      <c r="B204">
        <v>40.299999999999997</v>
      </c>
      <c r="C204">
        <v>2752</v>
      </c>
      <c r="D204">
        <v>20843.62</v>
      </c>
    </row>
    <row r="205" spans="1:4" x14ac:dyDescent="0.3">
      <c r="A205" s="1">
        <v>45495</v>
      </c>
      <c r="B205">
        <v>40.1</v>
      </c>
      <c r="C205">
        <v>3200</v>
      </c>
      <c r="D205">
        <v>23977.86</v>
      </c>
    </row>
    <row r="206" spans="1:4" x14ac:dyDescent="0.3">
      <c r="A206" s="1">
        <v>45496</v>
      </c>
      <c r="B206">
        <v>23.7</v>
      </c>
      <c r="C206">
        <v>3135</v>
      </c>
      <c r="D206">
        <v>23563.51</v>
      </c>
    </row>
    <row r="207" spans="1:4" x14ac:dyDescent="0.3">
      <c r="A207" s="1">
        <v>45497</v>
      </c>
      <c r="B207">
        <v>26.7</v>
      </c>
      <c r="C207">
        <v>2800</v>
      </c>
      <c r="D207">
        <v>21646.82</v>
      </c>
    </row>
    <row r="208" spans="1:4" x14ac:dyDescent="0.3">
      <c r="A208" s="1">
        <v>45498</v>
      </c>
      <c r="B208">
        <v>36.5</v>
      </c>
      <c r="C208">
        <v>3112</v>
      </c>
      <c r="D208">
        <v>23481.89</v>
      </c>
    </row>
    <row r="209" spans="1:4" x14ac:dyDescent="0.3">
      <c r="A209" s="1">
        <v>45499</v>
      </c>
      <c r="B209">
        <v>36.5</v>
      </c>
      <c r="C209">
        <v>3059</v>
      </c>
      <c r="D209">
        <v>22031.72</v>
      </c>
    </row>
    <row r="210" spans="1:4" x14ac:dyDescent="0.3">
      <c r="A210" s="1">
        <v>45500</v>
      </c>
      <c r="B210">
        <v>36.5</v>
      </c>
      <c r="C210">
        <v>3200</v>
      </c>
      <c r="D210">
        <v>23406.34</v>
      </c>
    </row>
    <row r="211" spans="1:4" x14ac:dyDescent="0.3">
      <c r="A211" s="1">
        <v>45501</v>
      </c>
      <c r="B211">
        <v>50</v>
      </c>
      <c r="C211">
        <v>3200</v>
      </c>
      <c r="D211">
        <v>25000</v>
      </c>
    </row>
    <row r="212" spans="1:4" x14ac:dyDescent="0.3">
      <c r="A212" s="1">
        <v>45502</v>
      </c>
      <c r="B212">
        <v>36.9</v>
      </c>
      <c r="C212">
        <v>2977</v>
      </c>
      <c r="D212">
        <v>23532.58</v>
      </c>
    </row>
    <row r="213" spans="1:4" x14ac:dyDescent="0.3">
      <c r="A213" s="1">
        <v>45503</v>
      </c>
      <c r="B213">
        <v>40.700000000000003</v>
      </c>
      <c r="C213">
        <v>2869</v>
      </c>
      <c r="D213">
        <v>20158.669999999998</v>
      </c>
    </row>
    <row r="214" spans="1:4" x14ac:dyDescent="0.3">
      <c r="A214" s="1">
        <v>45504</v>
      </c>
      <c r="B214">
        <v>39.4</v>
      </c>
      <c r="C214">
        <v>2720</v>
      </c>
      <c r="D214">
        <v>21179.14</v>
      </c>
    </row>
    <row r="215" spans="1:4" x14ac:dyDescent="0.3">
      <c r="A215" s="1">
        <v>45505</v>
      </c>
      <c r="B215">
        <v>37.4</v>
      </c>
      <c r="C215">
        <v>3052</v>
      </c>
      <c r="D215">
        <v>21906.87</v>
      </c>
    </row>
    <row r="216" spans="1:4" x14ac:dyDescent="0.3">
      <c r="A216" s="1">
        <v>45506</v>
      </c>
      <c r="B216">
        <v>30.9</v>
      </c>
      <c r="C216">
        <v>2762</v>
      </c>
      <c r="D216">
        <v>21578.6</v>
      </c>
    </row>
    <row r="217" spans="1:4" x14ac:dyDescent="0.3">
      <c r="A217" s="1">
        <v>45507</v>
      </c>
      <c r="B217">
        <v>38.1</v>
      </c>
      <c r="C217">
        <v>2737</v>
      </c>
      <c r="D217">
        <v>20136.259999999998</v>
      </c>
    </row>
    <row r="218" spans="1:4" x14ac:dyDescent="0.3">
      <c r="A218" s="1">
        <v>45508</v>
      </c>
      <c r="B218">
        <v>27.8</v>
      </c>
      <c r="C218">
        <v>2737</v>
      </c>
      <c r="D218">
        <v>19530.86</v>
      </c>
    </row>
    <row r="219" spans="1:4" x14ac:dyDescent="0.3">
      <c r="A219" s="1">
        <v>45509</v>
      </c>
      <c r="B219">
        <v>31.4</v>
      </c>
      <c r="C219">
        <v>2705</v>
      </c>
      <c r="D219">
        <v>19375.990000000002</v>
      </c>
    </row>
    <row r="220" spans="1:4" x14ac:dyDescent="0.3">
      <c r="A220" s="1">
        <v>45510</v>
      </c>
      <c r="B220">
        <v>29.7</v>
      </c>
      <c r="C220">
        <v>3200</v>
      </c>
      <c r="D220">
        <v>23652.67</v>
      </c>
    </row>
    <row r="221" spans="1:4" x14ac:dyDescent="0.3">
      <c r="A221" s="1">
        <v>45511</v>
      </c>
      <c r="B221">
        <v>33.6</v>
      </c>
      <c r="C221">
        <v>3130</v>
      </c>
      <c r="D221">
        <v>23818.04</v>
      </c>
    </row>
    <row r="222" spans="1:4" x14ac:dyDescent="0.3">
      <c r="A222" s="1">
        <v>45512</v>
      </c>
      <c r="B222">
        <v>48.6</v>
      </c>
      <c r="C222">
        <v>3178</v>
      </c>
      <c r="D222">
        <v>23775.71</v>
      </c>
    </row>
    <row r="223" spans="1:4" x14ac:dyDescent="0.3">
      <c r="A223" s="1">
        <v>45513</v>
      </c>
      <c r="B223">
        <v>20.399999999999999</v>
      </c>
      <c r="C223">
        <v>3052</v>
      </c>
      <c r="D223">
        <v>22127.22</v>
      </c>
    </row>
    <row r="224" spans="1:4" x14ac:dyDescent="0.3">
      <c r="A224" s="1">
        <v>45514</v>
      </c>
      <c r="B224">
        <v>37.6</v>
      </c>
      <c r="C224">
        <v>3030</v>
      </c>
      <c r="D224">
        <v>21630.45</v>
      </c>
    </row>
    <row r="225" spans="1:4" x14ac:dyDescent="0.3">
      <c r="A225" s="1">
        <v>45515</v>
      </c>
      <c r="B225">
        <v>22.1</v>
      </c>
      <c r="C225">
        <v>2609</v>
      </c>
      <c r="D225">
        <v>19862.150000000001</v>
      </c>
    </row>
    <row r="226" spans="1:4" x14ac:dyDescent="0.3">
      <c r="A226" s="1">
        <v>45516</v>
      </c>
      <c r="B226">
        <v>29.8</v>
      </c>
      <c r="C226">
        <v>3200</v>
      </c>
      <c r="D226">
        <v>25000</v>
      </c>
    </row>
    <row r="227" spans="1:4" x14ac:dyDescent="0.3">
      <c r="A227" s="1">
        <v>45517</v>
      </c>
      <c r="B227">
        <v>40.4</v>
      </c>
      <c r="C227">
        <v>3163</v>
      </c>
      <c r="D227">
        <v>24242.44</v>
      </c>
    </row>
    <row r="228" spans="1:4" x14ac:dyDescent="0.3">
      <c r="A228" s="1">
        <v>45518</v>
      </c>
      <c r="B228">
        <v>33.4</v>
      </c>
      <c r="C228">
        <v>2744</v>
      </c>
      <c r="D228">
        <v>19568.61</v>
      </c>
    </row>
    <row r="229" spans="1:4" x14ac:dyDescent="0.3">
      <c r="A229" s="1">
        <v>45519</v>
      </c>
      <c r="B229">
        <v>25.7</v>
      </c>
      <c r="C229">
        <v>2798</v>
      </c>
      <c r="D229">
        <v>20361.36</v>
      </c>
    </row>
    <row r="230" spans="1:4" x14ac:dyDescent="0.3">
      <c r="A230" s="1">
        <v>45520</v>
      </c>
      <c r="B230">
        <v>28.2</v>
      </c>
      <c r="C230">
        <v>2697</v>
      </c>
      <c r="D230">
        <v>19032.79</v>
      </c>
    </row>
    <row r="231" spans="1:4" x14ac:dyDescent="0.3">
      <c r="A231" s="1">
        <v>45521</v>
      </c>
      <c r="B231">
        <v>37.6</v>
      </c>
      <c r="C231">
        <v>2737</v>
      </c>
      <c r="D231">
        <v>20640.57</v>
      </c>
    </row>
    <row r="232" spans="1:4" x14ac:dyDescent="0.3">
      <c r="A232" s="1">
        <v>45522</v>
      </c>
      <c r="B232">
        <v>28.1</v>
      </c>
      <c r="C232">
        <v>3056</v>
      </c>
      <c r="D232">
        <v>21628.26</v>
      </c>
    </row>
    <row r="233" spans="1:4" x14ac:dyDescent="0.3">
      <c r="A233" s="1">
        <v>45523</v>
      </c>
      <c r="B233">
        <v>34.5</v>
      </c>
      <c r="C233">
        <v>3200</v>
      </c>
      <c r="D233">
        <v>23903.86</v>
      </c>
    </row>
    <row r="234" spans="1:4" x14ac:dyDescent="0.3">
      <c r="A234" s="1">
        <v>45524</v>
      </c>
      <c r="B234">
        <v>33.299999999999997</v>
      </c>
      <c r="C234">
        <v>2670</v>
      </c>
      <c r="D234">
        <v>18920.919999999998</v>
      </c>
    </row>
    <row r="235" spans="1:4" x14ac:dyDescent="0.3">
      <c r="A235" s="1">
        <v>45525</v>
      </c>
      <c r="B235">
        <v>28.6</v>
      </c>
      <c r="C235">
        <v>2992</v>
      </c>
      <c r="D235">
        <v>22461.55</v>
      </c>
    </row>
    <row r="236" spans="1:4" x14ac:dyDescent="0.3">
      <c r="A236" s="1">
        <v>45526</v>
      </c>
      <c r="B236">
        <v>47.5</v>
      </c>
      <c r="C236">
        <v>3032</v>
      </c>
      <c r="D236">
        <v>24097.95</v>
      </c>
    </row>
    <row r="237" spans="1:4" x14ac:dyDescent="0.3">
      <c r="A237" s="1">
        <v>45527</v>
      </c>
      <c r="B237">
        <v>37.299999999999997</v>
      </c>
      <c r="C237">
        <v>2912</v>
      </c>
      <c r="D237">
        <v>23120.63</v>
      </c>
    </row>
    <row r="238" spans="1:4" x14ac:dyDescent="0.3">
      <c r="A238" s="1">
        <v>45528</v>
      </c>
      <c r="B238">
        <v>20</v>
      </c>
      <c r="C238">
        <v>2632</v>
      </c>
      <c r="D238">
        <v>18681.71</v>
      </c>
    </row>
    <row r="239" spans="1:4" x14ac:dyDescent="0.3">
      <c r="A239" s="1">
        <v>45529</v>
      </c>
      <c r="B239">
        <v>34.299999999999997</v>
      </c>
      <c r="C239">
        <v>2791</v>
      </c>
      <c r="D239">
        <v>19853.98</v>
      </c>
    </row>
    <row r="240" spans="1:4" x14ac:dyDescent="0.3">
      <c r="A240" s="1">
        <v>45530</v>
      </c>
      <c r="B240">
        <v>28.5</v>
      </c>
      <c r="C240">
        <v>2888</v>
      </c>
      <c r="D240">
        <v>21311</v>
      </c>
    </row>
    <row r="241" spans="1:4" x14ac:dyDescent="0.3">
      <c r="A241" s="1">
        <v>45531</v>
      </c>
      <c r="B241">
        <v>38.799999999999997</v>
      </c>
      <c r="C241">
        <v>2865</v>
      </c>
      <c r="D241">
        <v>23095.87</v>
      </c>
    </row>
    <row r="242" spans="1:4" x14ac:dyDescent="0.3">
      <c r="A242" s="1">
        <v>45532</v>
      </c>
      <c r="B242">
        <v>27.7</v>
      </c>
      <c r="C242">
        <v>2919</v>
      </c>
      <c r="D242">
        <v>23013.7</v>
      </c>
    </row>
    <row r="243" spans="1:4" x14ac:dyDescent="0.3">
      <c r="A243" s="1">
        <v>45533</v>
      </c>
      <c r="B243">
        <v>32.200000000000003</v>
      </c>
      <c r="C243">
        <v>2923</v>
      </c>
      <c r="D243">
        <v>21883.77</v>
      </c>
    </row>
    <row r="244" spans="1:4" x14ac:dyDescent="0.3">
      <c r="A244" s="1">
        <v>45534</v>
      </c>
      <c r="B244">
        <v>36.4</v>
      </c>
      <c r="C244">
        <v>2948</v>
      </c>
      <c r="D244">
        <v>22755.439999999999</v>
      </c>
    </row>
    <row r="245" spans="1:4" x14ac:dyDescent="0.3">
      <c r="A245" s="1">
        <v>45535</v>
      </c>
      <c r="B245">
        <v>38.799999999999997</v>
      </c>
      <c r="C245">
        <v>2851</v>
      </c>
      <c r="D245">
        <v>22049.759999999998</v>
      </c>
    </row>
    <row r="246" spans="1:4" x14ac:dyDescent="0.3">
      <c r="A246" s="1">
        <v>45536</v>
      </c>
      <c r="B246">
        <v>24.9</v>
      </c>
      <c r="C246">
        <v>2708</v>
      </c>
      <c r="D246">
        <v>19878.5</v>
      </c>
    </row>
    <row r="247" spans="1:4" x14ac:dyDescent="0.3">
      <c r="A247" s="1">
        <v>45537</v>
      </c>
      <c r="B247">
        <v>30.7</v>
      </c>
      <c r="C247">
        <v>3062</v>
      </c>
      <c r="D247">
        <v>24551.52</v>
      </c>
    </row>
    <row r="248" spans="1:4" x14ac:dyDescent="0.3">
      <c r="A248" s="1">
        <v>45538</v>
      </c>
      <c r="B248">
        <v>29.8</v>
      </c>
      <c r="C248">
        <v>2997</v>
      </c>
      <c r="D248">
        <v>22758.83</v>
      </c>
    </row>
    <row r="249" spans="1:4" x14ac:dyDescent="0.3">
      <c r="A249" s="1">
        <v>45539</v>
      </c>
      <c r="B249">
        <v>28.6</v>
      </c>
      <c r="C249">
        <v>2683</v>
      </c>
      <c r="D249">
        <v>19541.34</v>
      </c>
    </row>
    <row r="250" spans="1:4" x14ac:dyDescent="0.3">
      <c r="A250" s="1">
        <v>45540</v>
      </c>
      <c r="B250">
        <v>44.9</v>
      </c>
      <c r="C250">
        <v>3144</v>
      </c>
      <c r="D250">
        <v>24298.17</v>
      </c>
    </row>
    <row r="251" spans="1:4" x14ac:dyDescent="0.3">
      <c r="A251" s="1">
        <v>45541</v>
      </c>
      <c r="B251">
        <v>35.700000000000003</v>
      </c>
      <c r="C251">
        <v>3136</v>
      </c>
      <c r="D251">
        <v>22198.09</v>
      </c>
    </row>
    <row r="252" spans="1:4" x14ac:dyDescent="0.3">
      <c r="A252" s="1">
        <v>45542</v>
      </c>
      <c r="B252">
        <v>24.5</v>
      </c>
      <c r="C252">
        <v>2483</v>
      </c>
      <c r="D252">
        <v>18831.509999999998</v>
      </c>
    </row>
    <row r="253" spans="1:4" x14ac:dyDescent="0.3">
      <c r="A253" s="1">
        <v>45543</v>
      </c>
      <c r="B253">
        <v>39.200000000000003</v>
      </c>
      <c r="C253">
        <v>3147</v>
      </c>
      <c r="D253">
        <v>24007</v>
      </c>
    </row>
    <row r="254" spans="1:4" x14ac:dyDescent="0.3">
      <c r="A254" s="1">
        <v>45544</v>
      </c>
      <c r="B254">
        <v>47.3</v>
      </c>
      <c r="C254">
        <v>3027</v>
      </c>
      <c r="D254">
        <v>22307.61</v>
      </c>
    </row>
    <row r="255" spans="1:4" x14ac:dyDescent="0.3">
      <c r="A255" s="1">
        <v>45545</v>
      </c>
      <c r="B255">
        <v>40</v>
      </c>
      <c r="C255">
        <v>3164</v>
      </c>
      <c r="D255">
        <v>24155.33</v>
      </c>
    </row>
    <row r="256" spans="1:4" x14ac:dyDescent="0.3">
      <c r="A256" s="1">
        <v>45546</v>
      </c>
      <c r="B256">
        <v>22.7</v>
      </c>
      <c r="C256">
        <v>2639</v>
      </c>
      <c r="D256">
        <v>18794.77</v>
      </c>
    </row>
    <row r="257" spans="1:4" x14ac:dyDescent="0.3">
      <c r="A257" s="1">
        <v>45547</v>
      </c>
      <c r="B257">
        <v>29.7</v>
      </c>
      <c r="C257">
        <v>2535</v>
      </c>
      <c r="D257">
        <v>18489.919999999998</v>
      </c>
    </row>
    <row r="258" spans="1:4" x14ac:dyDescent="0.3">
      <c r="A258" s="1">
        <v>45548</v>
      </c>
      <c r="B258">
        <v>41.6</v>
      </c>
      <c r="C258">
        <v>2748</v>
      </c>
      <c r="D258">
        <v>19869.16</v>
      </c>
    </row>
    <row r="259" spans="1:4" x14ac:dyDescent="0.3">
      <c r="A259" s="1">
        <v>45549</v>
      </c>
      <c r="B259">
        <v>28.2</v>
      </c>
      <c r="C259">
        <v>2883</v>
      </c>
      <c r="D259">
        <v>21418.49</v>
      </c>
    </row>
    <row r="260" spans="1:4" x14ac:dyDescent="0.3">
      <c r="A260" s="1">
        <v>45550</v>
      </c>
      <c r="B260">
        <v>36</v>
      </c>
      <c r="C260">
        <v>3042</v>
      </c>
      <c r="D260">
        <v>23742.76</v>
      </c>
    </row>
    <row r="261" spans="1:4" x14ac:dyDescent="0.3">
      <c r="A261" s="1">
        <v>45551</v>
      </c>
      <c r="B261">
        <v>38.200000000000003</v>
      </c>
      <c r="C261">
        <v>2843</v>
      </c>
      <c r="D261">
        <v>20458.87</v>
      </c>
    </row>
    <row r="262" spans="1:4" x14ac:dyDescent="0.3">
      <c r="A262" s="1">
        <v>45552</v>
      </c>
      <c r="B262">
        <v>26.7</v>
      </c>
      <c r="C262">
        <v>2979</v>
      </c>
      <c r="D262">
        <v>22528.14</v>
      </c>
    </row>
    <row r="263" spans="1:4" x14ac:dyDescent="0.3">
      <c r="A263" s="1">
        <v>45553</v>
      </c>
      <c r="B263">
        <v>32.6</v>
      </c>
      <c r="C263">
        <v>2607</v>
      </c>
      <c r="D263">
        <v>20561.2</v>
      </c>
    </row>
    <row r="264" spans="1:4" x14ac:dyDescent="0.3">
      <c r="A264" s="1">
        <v>45554</v>
      </c>
      <c r="B264">
        <v>20</v>
      </c>
      <c r="C264">
        <v>2737</v>
      </c>
      <c r="D264">
        <v>21839.24</v>
      </c>
    </row>
    <row r="265" spans="1:4" x14ac:dyDescent="0.3">
      <c r="A265" s="1">
        <v>45555</v>
      </c>
      <c r="B265">
        <v>26.1</v>
      </c>
      <c r="C265">
        <v>2599</v>
      </c>
      <c r="D265">
        <v>20845.98</v>
      </c>
    </row>
    <row r="266" spans="1:4" x14ac:dyDescent="0.3">
      <c r="A266" s="1">
        <v>45556</v>
      </c>
      <c r="B266">
        <v>31.3</v>
      </c>
      <c r="C266">
        <v>2789</v>
      </c>
      <c r="D266">
        <v>21585.15</v>
      </c>
    </row>
    <row r="267" spans="1:4" x14ac:dyDescent="0.3">
      <c r="A267" s="1">
        <v>45557</v>
      </c>
      <c r="B267">
        <v>24.6</v>
      </c>
      <c r="C267">
        <v>2828</v>
      </c>
      <c r="D267">
        <v>20463.87</v>
      </c>
    </row>
    <row r="268" spans="1:4" x14ac:dyDescent="0.3">
      <c r="A268" s="1">
        <v>45558</v>
      </c>
      <c r="B268">
        <v>44</v>
      </c>
      <c r="C268">
        <v>2938</v>
      </c>
      <c r="D268">
        <v>20964.38</v>
      </c>
    </row>
    <row r="269" spans="1:4" x14ac:dyDescent="0.3">
      <c r="A269" s="1">
        <v>45559</v>
      </c>
      <c r="B269">
        <v>23.3</v>
      </c>
      <c r="C269">
        <v>2723</v>
      </c>
      <c r="D269">
        <v>19263.75</v>
      </c>
    </row>
    <row r="270" spans="1:4" x14ac:dyDescent="0.3">
      <c r="A270" s="1">
        <v>45560</v>
      </c>
      <c r="B270">
        <v>30</v>
      </c>
      <c r="C270">
        <v>3102</v>
      </c>
      <c r="D270">
        <v>23431.24</v>
      </c>
    </row>
    <row r="271" spans="1:4" x14ac:dyDescent="0.3">
      <c r="A271" s="1">
        <v>45561</v>
      </c>
      <c r="B271">
        <v>33.9</v>
      </c>
      <c r="C271">
        <v>2843</v>
      </c>
      <c r="D271">
        <v>19212.91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E954-C56C-4438-A00E-FAEF7304B624}">
  <dimension ref="B3:D41"/>
  <sheetViews>
    <sheetView topLeftCell="A9" workbookViewId="0">
      <selection activeCell="C28" sqref="C28"/>
    </sheetView>
  </sheetViews>
  <sheetFormatPr defaultRowHeight="14.4" x14ac:dyDescent="0.3"/>
  <cols>
    <col min="1" max="1" width="8.88671875" customWidth="1"/>
    <col min="2" max="2" width="27" bestFit="1" customWidth="1"/>
    <col min="3" max="3" width="29" bestFit="1" customWidth="1"/>
    <col min="4" max="4" width="22.5546875" bestFit="1" customWidth="1"/>
  </cols>
  <sheetData>
    <row r="3" spans="2:3" x14ac:dyDescent="0.3">
      <c r="B3" t="s">
        <v>442</v>
      </c>
    </row>
    <row r="4" spans="2:3" x14ac:dyDescent="0.3">
      <c r="B4" s="2" t="s">
        <v>437</v>
      </c>
      <c r="C4" t="s">
        <v>458</v>
      </c>
    </row>
    <row r="6" spans="2:3" x14ac:dyDescent="0.3">
      <c r="B6" s="3" t="s">
        <v>438</v>
      </c>
      <c r="C6" t="s">
        <v>500</v>
      </c>
    </row>
    <row r="8" spans="2:3" x14ac:dyDescent="0.3">
      <c r="B8" s="3" t="s">
        <v>439</v>
      </c>
      <c r="C8" t="s">
        <v>441</v>
      </c>
    </row>
    <row r="10" spans="2:3" x14ac:dyDescent="0.3">
      <c r="B10" s="3" t="s">
        <v>440</v>
      </c>
      <c r="C10">
        <v>0.05</v>
      </c>
    </row>
    <row r="13" spans="2:3" x14ac:dyDescent="0.3">
      <c r="B13" t="s">
        <v>443</v>
      </c>
    </row>
    <row r="14" spans="2:3" x14ac:dyDescent="0.3">
      <c r="B14" s="3" t="s">
        <v>444</v>
      </c>
      <c r="C14">
        <v>68.5</v>
      </c>
    </row>
    <row r="15" spans="2:3" x14ac:dyDescent="0.3">
      <c r="B15" s="3"/>
    </row>
    <row r="16" spans="2:3" x14ac:dyDescent="0.3">
      <c r="B16" s="3" t="s">
        <v>445</v>
      </c>
      <c r="C16">
        <v>70</v>
      </c>
    </row>
    <row r="17" spans="2:4" x14ac:dyDescent="0.3">
      <c r="B17" s="3"/>
    </row>
    <row r="18" spans="2:4" x14ac:dyDescent="0.3">
      <c r="B18" s="3" t="s">
        <v>446</v>
      </c>
      <c r="C18">
        <v>8.1999999999999993</v>
      </c>
    </row>
    <row r="19" spans="2:4" x14ac:dyDescent="0.3">
      <c r="B19" s="3"/>
    </row>
    <row r="20" spans="2:4" x14ac:dyDescent="0.3">
      <c r="B20" s="3" t="s">
        <v>447</v>
      </c>
      <c r="C20">
        <v>180</v>
      </c>
    </row>
    <row r="22" spans="2:4" x14ac:dyDescent="0.3">
      <c r="B22" s="3" t="s">
        <v>448</v>
      </c>
      <c r="C22" t="s">
        <v>451</v>
      </c>
      <c r="D22">
        <f>C18/SQRT(180)</f>
        <v>0.61119191384994243</v>
      </c>
    </row>
    <row r="24" spans="2:4" x14ac:dyDescent="0.3">
      <c r="B24" s="3" t="s">
        <v>449</v>
      </c>
      <c r="C24" t="s">
        <v>452</v>
      </c>
      <c r="D24">
        <f>(C14-C16)/D22</f>
        <v>-2.4542209509144035</v>
      </c>
    </row>
    <row r="26" spans="2:4" x14ac:dyDescent="0.3">
      <c r="B26" s="3" t="s">
        <v>450</v>
      </c>
      <c r="C26" t="s">
        <v>581</v>
      </c>
      <c r="D26">
        <f>C20-1</f>
        <v>179</v>
      </c>
    </row>
    <row r="28" spans="2:4" x14ac:dyDescent="0.3">
      <c r="B28" s="3" t="s">
        <v>453</v>
      </c>
      <c r="C28" t="s">
        <v>454</v>
      </c>
      <c r="D28">
        <f>_xlfn.T.DIST.2T(ABS(-2.4542209951),179)</f>
        <v>1.5075685510078048E-2</v>
      </c>
    </row>
    <row r="29" spans="2:4" x14ac:dyDescent="0.3">
      <c r="B29" s="3"/>
    </row>
    <row r="30" spans="2:4" x14ac:dyDescent="0.3">
      <c r="B30" s="2" t="s">
        <v>457</v>
      </c>
    </row>
    <row r="31" spans="2:4" x14ac:dyDescent="0.3">
      <c r="B31" s="2" t="s">
        <v>455</v>
      </c>
      <c r="C31" t="s">
        <v>456</v>
      </c>
    </row>
    <row r="34" spans="2:2" x14ac:dyDescent="0.3">
      <c r="B34" s="3"/>
    </row>
    <row r="41" spans="2:2" x14ac:dyDescent="0.3">
      <c r="B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B76E-BFB2-4386-9C13-C15FDCE03F95}">
  <dimension ref="A1:M401"/>
  <sheetViews>
    <sheetView topLeftCell="H38" zoomScaleNormal="100" workbookViewId="0">
      <selection activeCell="L40" sqref="L40"/>
    </sheetView>
  </sheetViews>
  <sheetFormatPr defaultRowHeight="14.4" x14ac:dyDescent="0.3"/>
  <cols>
    <col min="1" max="1" width="10.33203125" bestFit="1" customWidth="1"/>
    <col min="3" max="3" width="16.5546875" bestFit="1" customWidth="1"/>
    <col min="5" max="5" width="16.5546875" bestFit="1" customWidth="1"/>
    <col min="7" max="7" width="16.5546875" bestFit="1" customWidth="1"/>
    <col min="8" max="8" width="8" customWidth="1"/>
    <col min="9" max="9" width="7.6640625" customWidth="1"/>
    <col min="11" max="11" width="43.109375" bestFit="1" customWidth="1"/>
    <col min="12" max="12" width="34.6640625" bestFit="1" customWidth="1"/>
    <col min="13" max="13" width="17.21875" bestFit="1" customWidth="1"/>
  </cols>
  <sheetData>
    <row r="1" spans="1:13" x14ac:dyDescent="0.3">
      <c r="A1" t="s">
        <v>32</v>
      </c>
      <c r="B1" t="s">
        <v>33</v>
      </c>
      <c r="C1" t="s">
        <v>34</v>
      </c>
      <c r="D1" t="s">
        <v>483</v>
      </c>
      <c r="E1" t="s">
        <v>34</v>
      </c>
      <c r="F1" t="s">
        <v>482</v>
      </c>
      <c r="G1" t="s">
        <v>34</v>
      </c>
    </row>
    <row r="2" spans="1:13" x14ac:dyDescent="0.3">
      <c r="A2" t="s">
        <v>38</v>
      </c>
      <c r="B2" t="s">
        <v>39</v>
      </c>
      <c r="C2">
        <v>53.7</v>
      </c>
      <c r="D2" t="s">
        <v>39</v>
      </c>
      <c r="E2">
        <v>53.7</v>
      </c>
      <c r="F2" t="s">
        <v>36</v>
      </c>
      <c r="G2">
        <v>69.7</v>
      </c>
    </row>
    <row r="3" spans="1:13" x14ac:dyDescent="0.3">
      <c r="A3" t="s">
        <v>41</v>
      </c>
      <c r="B3" t="s">
        <v>39</v>
      </c>
      <c r="C3">
        <v>53.4</v>
      </c>
      <c r="D3" t="s">
        <v>39</v>
      </c>
      <c r="E3">
        <v>53.4</v>
      </c>
      <c r="F3" t="s">
        <v>36</v>
      </c>
      <c r="G3">
        <v>88.5</v>
      </c>
      <c r="K3" t="s">
        <v>459</v>
      </c>
    </row>
    <row r="4" spans="1:13" x14ac:dyDescent="0.3">
      <c r="A4" t="s">
        <v>42</v>
      </c>
      <c r="B4" t="s">
        <v>39</v>
      </c>
      <c r="C4">
        <v>97.1</v>
      </c>
      <c r="D4" t="s">
        <v>39</v>
      </c>
      <c r="E4">
        <v>97.1</v>
      </c>
      <c r="F4" t="s">
        <v>36</v>
      </c>
      <c r="G4">
        <v>65.2</v>
      </c>
      <c r="K4" s="2" t="s">
        <v>437</v>
      </c>
      <c r="L4" t="s">
        <v>488</v>
      </c>
    </row>
    <row r="5" spans="1:13" x14ac:dyDescent="0.3">
      <c r="A5" t="s">
        <v>44</v>
      </c>
      <c r="B5" t="s">
        <v>39</v>
      </c>
      <c r="C5">
        <v>71.2</v>
      </c>
      <c r="D5" t="s">
        <v>39</v>
      </c>
      <c r="E5">
        <v>71.2</v>
      </c>
      <c r="F5" t="s">
        <v>36</v>
      </c>
      <c r="G5">
        <v>78.900000000000006</v>
      </c>
    </row>
    <row r="6" spans="1:13" x14ac:dyDescent="0.3">
      <c r="A6" t="s">
        <v>46</v>
      </c>
      <c r="B6" t="s">
        <v>39</v>
      </c>
      <c r="C6">
        <v>79.599999999999994</v>
      </c>
      <c r="D6" t="s">
        <v>39</v>
      </c>
      <c r="E6">
        <v>79.599999999999994</v>
      </c>
      <c r="F6" t="s">
        <v>36</v>
      </c>
      <c r="G6">
        <v>75.3</v>
      </c>
      <c r="K6" s="3" t="s">
        <v>438</v>
      </c>
      <c r="L6" t="s">
        <v>489</v>
      </c>
    </row>
    <row r="7" spans="1:13" x14ac:dyDescent="0.3">
      <c r="A7" t="s">
        <v>47</v>
      </c>
      <c r="B7" t="s">
        <v>39</v>
      </c>
      <c r="C7">
        <v>61.9</v>
      </c>
      <c r="D7" t="s">
        <v>39</v>
      </c>
      <c r="E7">
        <v>61.9</v>
      </c>
      <c r="F7" t="s">
        <v>36</v>
      </c>
      <c r="G7">
        <v>73.7</v>
      </c>
    </row>
    <row r="8" spans="1:13" x14ac:dyDescent="0.3">
      <c r="A8" t="s">
        <v>49</v>
      </c>
      <c r="B8" t="s">
        <v>39</v>
      </c>
      <c r="C8">
        <v>64.3</v>
      </c>
      <c r="D8" t="s">
        <v>39</v>
      </c>
      <c r="E8">
        <v>64.3</v>
      </c>
      <c r="F8" t="s">
        <v>36</v>
      </c>
      <c r="G8">
        <v>71.8</v>
      </c>
      <c r="K8" s="3" t="s">
        <v>439</v>
      </c>
      <c r="L8" t="s">
        <v>490</v>
      </c>
    </row>
    <row r="9" spans="1:13" x14ac:dyDescent="0.3">
      <c r="A9" t="s">
        <v>50</v>
      </c>
      <c r="B9" t="s">
        <v>39</v>
      </c>
      <c r="C9">
        <v>81.099999999999994</v>
      </c>
      <c r="D9" t="s">
        <v>39</v>
      </c>
      <c r="E9">
        <v>81.099999999999994</v>
      </c>
      <c r="F9" t="s">
        <v>36</v>
      </c>
      <c r="G9">
        <v>68.3</v>
      </c>
    </row>
    <row r="10" spans="1:13" x14ac:dyDescent="0.3">
      <c r="A10" t="s">
        <v>51</v>
      </c>
      <c r="B10" t="s">
        <v>39</v>
      </c>
      <c r="C10">
        <v>80.099999999999994</v>
      </c>
      <c r="D10" t="s">
        <v>39</v>
      </c>
      <c r="E10">
        <v>80.099999999999994</v>
      </c>
      <c r="F10" t="s">
        <v>36</v>
      </c>
      <c r="G10">
        <v>61.2</v>
      </c>
      <c r="K10" s="3" t="s">
        <v>440</v>
      </c>
      <c r="L10">
        <v>0.05</v>
      </c>
    </row>
    <row r="11" spans="1:13" x14ac:dyDescent="0.3">
      <c r="A11" t="s">
        <v>52</v>
      </c>
      <c r="B11" t="s">
        <v>39</v>
      </c>
      <c r="C11">
        <v>79.8</v>
      </c>
      <c r="D11" t="s">
        <v>39</v>
      </c>
      <c r="E11">
        <v>79.8</v>
      </c>
      <c r="F11" t="s">
        <v>36</v>
      </c>
      <c r="G11">
        <v>75.3</v>
      </c>
    </row>
    <row r="12" spans="1:13" x14ac:dyDescent="0.3">
      <c r="A12" t="s">
        <v>57</v>
      </c>
      <c r="B12" t="s">
        <v>39</v>
      </c>
      <c r="C12">
        <v>91</v>
      </c>
      <c r="D12" t="s">
        <v>39</v>
      </c>
      <c r="E12">
        <v>91</v>
      </c>
      <c r="F12" t="s">
        <v>36</v>
      </c>
      <c r="G12">
        <v>62.2</v>
      </c>
    </row>
    <row r="13" spans="1:13" x14ac:dyDescent="0.3">
      <c r="A13" t="s">
        <v>58</v>
      </c>
      <c r="B13" t="s">
        <v>39</v>
      </c>
      <c r="C13">
        <v>48.1</v>
      </c>
      <c r="D13" t="s">
        <v>39</v>
      </c>
      <c r="E13">
        <v>48.1</v>
      </c>
      <c r="F13" t="s">
        <v>36</v>
      </c>
      <c r="G13">
        <v>63.2</v>
      </c>
      <c r="K13" t="s">
        <v>460</v>
      </c>
    </row>
    <row r="14" spans="1:13" x14ac:dyDescent="0.3">
      <c r="A14" t="s">
        <v>61</v>
      </c>
      <c r="B14" t="s">
        <v>39</v>
      </c>
      <c r="C14">
        <v>72.400000000000006</v>
      </c>
      <c r="D14" t="s">
        <v>39</v>
      </c>
      <c r="E14">
        <v>72.400000000000006</v>
      </c>
      <c r="F14" t="s">
        <v>36</v>
      </c>
      <c r="G14">
        <v>69.5</v>
      </c>
      <c r="K14" s="3" t="s">
        <v>461</v>
      </c>
      <c r="L14" t="s">
        <v>484</v>
      </c>
      <c r="M14">
        <f>AVERAGE(E2:E201)</f>
        <v>68.515500000000017</v>
      </c>
    </row>
    <row r="15" spans="1:13" x14ac:dyDescent="0.3">
      <c r="A15" t="s">
        <v>63</v>
      </c>
      <c r="B15" t="s">
        <v>39</v>
      </c>
      <c r="C15">
        <v>54</v>
      </c>
      <c r="D15" t="s">
        <v>39</v>
      </c>
      <c r="E15">
        <v>54</v>
      </c>
      <c r="F15" t="s">
        <v>36</v>
      </c>
      <c r="G15">
        <v>77</v>
      </c>
    </row>
    <row r="16" spans="1:13" x14ac:dyDescent="0.3">
      <c r="A16" t="s">
        <v>66</v>
      </c>
      <c r="B16" t="s">
        <v>39</v>
      </c>
      <c r="C16">
        <v>82.1</v>
      </c>
      <c r="D16" t="s">
        <v>39</v>
      </c>
      <c r="E16">
        <v>82.1</v>
      </c>
      <c r="F16" t="s">
        <v>36</v>
      </c>
      <c r="G16">
        <v>73.099999999999994</v>
      </c>
      <c r="K16" s="3" t="s">
        <v>462</v>
      </c>
      <c r="L16" t="s">
        <v>485</v>
      </c>
      <c r="M16">
        <f>_xlfn.STDEV.S(E2:E201)</f>
        <v>12.674102497636742</v>
      </c>
    </row>
    <row r="17" spans="1:13" x14ac:dyDescent="0.3">
      <c r="A17" t="s">
        <v>68</v>
      </c>
      <c r="B17" t="s">
        <v>39</v>
      </c>
      <c r="C17">
        <v>65.900000000000006</v>
      </c>
      <c r="D17" t="s">
        <v>39</v>
      </c>
      <c r="E17">
        <v>65.900000000000006</v>
      </c>
      <c r="F17" t="s">
        <v>36</v>
      </c>
      <c r="G17">
        <v>59.1</v>
      </c>
      <c r="K17" s="3"/>
    </row>
    <row r="18" spans="1:13" x14ac:dyDescent="0.3">
      <c r="A18" t="s">
        <v>70</v>
      </c>
      <c r="B18" t="s">
        <v>39</v>
      </c>
      <c r="C18">
        <v>65.099999999999994</v>
      </c>
      <c r="D18" t="s">
        <v>39</v>
      </c>
      <c r="E18">
        <v>65.099999999999994</v>
      </c>
      <c r="F18" t="s">
        <v>36</v>
      </c>
      <c r="G18">
        <v>82</v>
      </c>
      <c r="K18" s="3" t="s">
        <v>463</v>
      </c>
      <c r="L18" t="s">
        <v>468</v>
      </c>
      <c r="M18">
        <v>200</v>
      </c>
    </row>
    <row r="19" spans="1:13" x14ac:dyDescent="0.3">
      <c r="A19" t="s">
        <v>72</v>
      </c>
      <c r="B19" t="s">
        <v>39</v>
      </c>
      <c r="C19">
        <v>87.1</v>
      </c>
      <c r="D19" t="s">
        <v>39</v>
      </c>
      <c r="E19">
        <v>87.1</v>
      </c>
      <c r="F19" t="s">
        <v>36</v>
      </c>
      <c r="G19">
        <v>74.099999999999994</v>
      </c>
      <c r="K19" s="3"/>
    </row>
    <row r="20" spans="1:13" x14ac:dyDescent="0.3">
      <c r="A20" t="s">
        <v>73</v>
      </c>
      <c r="B20" t="s">
        <v>39</v>
      </c>
      <c r="C20">
        <v>67.7</v>
      </c>
      <c r="D20" t="s">
        <v>39</v>
      </c>
      <c r="E20">
        <v>67.7</v>
      </c>
      <c r="F20" t="s">
        <v>36</v>
      </c>
      <c r="G20">
        <v>89.5</v>
      </c>
      <c r="K20" s="3" t="s">
        <v>464</v>
      </c>
      <c r="L20" t="s">
        <v>486</v>
      </c>
      <c r="M20">
        <f>AVERAGE(G2:G201)</f>
        <v>72.540499999999938</v>
      </c>
    </row>
    <row r="21" spans="1:13" x14ac:dyDescent="0.3">
      <c r="A21" t="s">
        <v>75</v>
      </c>
      <c r="B21" t="s">
        <v>39</v>
      </c>
      <c r="C21">
        <v>68.8</v>
      </c>
      <c r="D21" t="s">
        <v>39</v>
      </c>
      <c r="E21">
        <v>68.8</v>
      </c>
      <c r="F21" t="s">
        <v>36</v>
      </c>
      <c r="G21">
        <v>97.6</v>
      </c>
      <c r="K21" s="3"/>
    </row>
    <row r="22" spans="1:13" x14ac:dyDescent="0.3">
      <c r="A22" t="s">
        <v>76</v>
      </c>
      <c r="B22" t="s">
        <v>39</v>
      </c>
      <c r="C22">
        <v>66.7</v>
      </c>
      <c r="D22" t="s">
        <v>39</v>
      </c>
      <c r="E22">
        <v>66.7</v>
      </c>
      <c r="F22" t="s">
        <v>36</v>
      </c>
      <c r="G22">
        <v>64.5</v>
      </c>
      <c r="K22" s="3" t="s">
        <v>465</v>
      </c>
      <c r="L22" t="s">
        <v>487</v>
      </c>
      <c r="M22">
        <f>_xlfn.STDEV.S(G2:G201)</f>
        <v>11.770605144910583</v>
      </c>
    </row>
    <row r="23" spans="1:13" x14ac:dyDescent="0.3">
      <c r="A23" t="s">
        <v>78</v>
      </c>
      <c r="B23" t="s">
        <v>39</v>
      </c>
      <c r="C23">
        <v>70.400000000000006</v>
      </c>
      <c r="D23" t="s">
        <v>39</v>
      </c>
      <c r="E23">
        <v>70.400000000000006</v>
      </c>
      <c r="F23" t="s">
        <v>36</v>
      </c>
      <c r="G23">
        <v>81.099999999999994</v>
      </c>
      <c r="K23" s="3"/>
    </row>
    <row r="24" spans="1:13" x14ac:dyDescent="0.3">
      <c r="A24" t="s">
        <v>79</v>
      </c>
      <c r="B24" t="s">
        <v>39</v>
      </c>
      <c r="C24">
        <v>59.8</v>
      </c>
      <c r="D24" t="s">
        <v>39</v>
      </c>
      <c r="E24">
        <v>59.8</v>
      </c>
      <c r="F24" t="s">
        <v>36</v>
      </c>
      <c r="G24">
        <v>70.099999999999994</v>
      </c>
      <c r="K24" s="3" t="s">
        <v>466</v>
      </c>
      <c r="L24" t="s">
        <v>469</v>
      </c>
      <c r="M24">
        <v>200</v>
      </c>
    </row>
    <row r="25" spans="1:13" x14ac:dyDescent="0.3">
      <c r="A25" t="s">
        <v>80</v>
      </c>
      <c r="B25" t="s">
        <v>39</v>
      </c>
      <c r="C25">
        <v>81.900000000000006</v>
      </c>
      <c r="D25" t="s">
        <v>39</v>
      </c>
      <c r="E25">
        <v>81.900000000000006</v>
      </c>
      <c r="F25" t="s">
        <v>36</v>
      </c>
      <c r="G25">
        <v>55.3</v>
      </c>
      <c r="K25" s="3"/>
    </row>
    <row r="26" spans="1:13" x14ac:dyDescent="0.3">
      <c r="A26" t="s">
        <v>81</v>
      </c>
      <c r="B26" t="s">
        <v>39</v>
      </c>
      <c r="C26">
        <v>69.400000000000006</v>
      </c>
      <c r="D26" t="s">
        <v>39</v>
      </c>
      <c r="E26">
        <v>69.400000000000006</v>
      </c>
      <c r="F26" t="s">
        <v>36</v>
      </c>
      <c r="G26">
        <v>57.8</v>
      </c>
      <c r="K26" s="3" t="s">
        <v>467</v>
      </c>
      <c r="L26" t="s">
        <v>582</v>
      </c>
      <c r="M26">
        <f>M20-M14</f>
        <v>4.0249999999999204</v>
      </c>
    </row>
    <row r="27" spans="1:13" x14ac:dyDescent="0.3">
      <c r="A27" t="s">
        <v>83</v>
      </c>
      <c r="B27" t="s">
        <v>39</v>
      </c>
      <c r="C27">
        <v>69.7</v>
      </c>
      <c r="D27" t="s">
        <v>39</v>
      </c>
      <c r="E27">
        <v>69.7</v>
      </c>
      <c r="F27" t="s">
        <v>36</v>
      </c>
      <c r="G27">
        <v>61</v>
      </c>
    </row>
    <row r="28" spans="1:13" x14ac:dyDescent="0.3">
      <c r="A28" t="s">
        <v>84</v>
      </c>
      <c r="B28" t="s">
        <v>39</v>
      </c>
      <c r="C28">
        <v>78.5</v>
      </c>
      <c r="D28" t="s">
        <v>39</v>
      </c>
      <c r="E28">
        <v>78.5</v>
      </c>
      <c r="F28" t="s">
        <v>36</v>
      </c>
      <c r="G28">
        <v>78.099999999999994</v>
      </c>
    </row>
    <row r="29" spans="1:13" x14ac:dyDescent="0.3">
      <c r="A29" t="s">
        <v>85</v>
      </c>
      <c r="B29" t="s">
        <v>39</v>
      </c>
      <c r="C29">
        <v>60.7</v>
      </c>
      <c r="D29" t="s">
        <v>39</v>
      </c>
      <c r="E29">
        <v>60.7</v>
      </c>
      <c r="F29" t="s">
        <v>36</v>
      </c>
      <c r="G29">
        <v>80.900000000000006</v>
      </c>
      <c r="K29" t="s">
        <v>470</v>
      </c>
    </row>
    <row r="30" spans="1:13" x14ac:dyDescent="0.3">
      <c r="A30" t="s">
        <v>86</v>
      </c>
      <c r="B30" t="s">
        <v>39</v>
      </c>
      <c r="C30">
        <v>68</v>
      </c>
      <c r="D30" t="s">
        <v>39</v>
      </c>
      <c r="E30">
        <v>68</v>
      </c>
      <c r="F30" t="s">
        <v>36</v>
      </c>
      <c r="G30">
        <v>64.2</v>
      </c>
      <c r="K30" s="3"/>
    </row>
    <row r="31" spans="1:13" x14ac:dyDescent="0.3">
      <c r="A31" t="s">
        <v>87</v>
      </c>
      <c r="B31" t="s">
        <v>39</v>
      </c>
      <c r="C31">
        <v>86</v>
      </c>
      <c r="D31" t="s">
        <v>39</v>
      </c>
      <c r="E31">
        <v>86</v>
      </c>
      <c r="F31" t="s">
        <v>36</v>
      </c>
      <c r="G31">
        <v>96.4</v>
      </c>
      <c r="K31" s="3" t="s">
        <v>491</v>
      </c>
      <c r="L31">
        <v>-3.2908992704730902</v>
      </c>
    </row>
    <row r="32" spans="1:13" x14ac:dyDescent="0.3">
      <c r="A32" t="s">
        <v>90</v>
      </c>
      <c r="B32" t="s">
        <v>39</v>
      </c>
      <c r="C32">
        <v>93.2</v>
      </c>
      <c r="D32" t="s">
        <v>39</v>
      </c>
      <c r="E32">
        <v>93.2</v>
      </c>
      <c r="F32" t="s">
        <v>36</v>
      </c>
      <c r="G32">
        <v>78.5</v>
      </c>
      <c r="K32" s="3"/>
    </row>
    <row r="33" spans="1:13" x14ac:dyDescent="0.3">
      <c r="A33" t="s">
        <v>92</v>
      </c>
      <c r="B33" t="s">
        <v>39</v>
      </c>
      <c r="C33">
        <v>73.400000000000006</v>
      </c>
      <c r="D33" t="s">
        <v>39</v>
      </c>
      <c r="E33">
        <v>73.400000000000006</v>
      </c>
      <c r="F33" t="s">
        <v>36</v>
      </c>
      <c r="G33">
        <v>78.5</v>
      </c>
      <c r="K33" s="3" t="s">
        <v>492</v>
      </c>
      <c r="L33">
        <v>1.0882123169999999E-3</v>
      </c>
    </row>
    <row r="34" spans="1:13" x14ac:dyDescent="0.3">
      <c r="A34" t="s">
        <v>94</v>
      </c>
      <c r="B34" t="s">
        <v>39</v>
      </c>
      <c r="C34">
        <v>68.099999999999994</v>
      </c>
      <c r="D34" t="s">
        <v>39</v>
      </c>
      <c r="E34">
        <v>68.099999999999994</v>
      </c>
      <c r="F34" t="s">
        <v>36</v>
      </c>
      <c r="G34">
        <v>74.400000000000006</v>
      </c>
      <c r="K34" s="3"/>
    </row>
    <row r="35" spans="1:13" x14ac:dyDescent="0.3">
      <c r="A35" t="s">
        <v>95</v>
      </c>
      <c r="B35" t="s">
        <v>39</v>
      </c>
      <c r="C35">
        <v>81.599999999999994</v>
      </c>
      <c r="D35" t="s">
        <v>39</v>
      </c>
      <c r="E35">
        <v>81.599999999999994</v>
      </c>
      <c r="F35" t="s">
        <v>36</v>
      </c>
      <c r="G35">
        <v>71.400000000000006</v>
      </c>
      <c r="K35" s="3" t="s">
        <v>493</v>
      </c>
      <c r="L35">
        <v>396</v>
      </c>
    </row>
    <row r="36" spans="1:13" x14ac:dyDescent="0.3">
      <c r="A36" t="s">
        <v>96</v>
      </c>
      <c r="B36" t="s">
        <v>39</v>
      </c>
      <c r="C36">
        <v>55.3</v>
      </c>
      <c r="D36" t="s">
        <v>39</v>
      </c>
      <c r="E36">
        <v>55.3</v>
      </c>
      <c r="F36" t="s">
        <v>36</v>
      </c>
      <c r="G36">
        <v>78.400000000000006</v>
      </c>
      <c r="K36" s="3"/>
    </row>
    <row r="37" spans="1:13" x14ac:dyDescent="0.3">
      <c r="A37" t="s">
        <v>97</v>
      </c>
      <c r="B37" t="s">
        <v>39</v>
      </c>
      <c r="C37">
        <v>59</v>
      </c>
      <c r="D37" t="s">
        <v>39</v>
      </c>
      <c r="E37">
        <v>59</v>
      </c>
      <c r="F37" t="s">
        <v>36</v>
      </c>
      <c r="G37">
        <v>78.400000000000006</v>
      </c>
    </row>
    <row r="38" spans="1:13" x14ac:dyDescent="0.3">
      <c r="A38" t="s">
        <v>100</v>
      </c>
      <c r="B38" t="s">
        <v>39</v>
      </c>
      <c r="C38">
        <v>65.2</v>
      </c>
      <c r="D38" t="s">
        <v>39</v>
      </c>
      <c r="E38">
        <v>65.2</v>
      </c>
      <c r="F38" t="s">
        <v>36</v>
      </c>
      <c r="G38">
        <v>62.6</v>
      </c>
      <c r="K38" t="s">
        <v>583</v>
      </c>
    </row>
    <row r="39" spans="1:13" x14ac:dyDescent="0.3">
      <c r="A39" t="s">
        <v>101</v>
      </c>
      <c r="B39" t="s">
        <v>39</v>
      </c>
      <c r="C39">
        <v>73.099999999999994</v>
      </c>
      <c r="D39" t="s">
        <v>39</v>
      </c>
      <c r="E39">
        <v>73.099999999999994</v>
      </c>
      <c r="F39" t="s">
        <v>36</v>
      </c>
      <c r="G39">
        <v>80.5</v>
      </c>
      <c r="K39" s="2" t="s">
        <v>494</v>
      </c>
    </row>
    <row r="40" spans="1:13" x14ac:dyDescent="0.3">
      <c r="A40" t="s">
        <v>102</v>
      </c>
      <c r="B40" t="s">
        <v>39</v>
      </c>
      <c r="C40">
        <v>46.1</v>
      </c>
      <c r="D40" t="s">
        <v>39</v>
      </c>
      <c r="E40">
        <v>46.1</v>
      </c>
      <c r="F40" t="s">
        <v>36</v>
      </c>
      <c r="G40">
        <v>72.400000000000006</v>
      </c>
    </row>
    <row r="41" spans="1:13" x14ac:dyDescent="0.3">
      <c r="A41" t="s">
        <v>106</v>
      </c>
      <c r="B41" t="s">
        <v>39</v>
      </c>
      <c r="C41">
        <v>54.7</v>
      </c>
      <c r="D41" t="s">
        <v>39</v>
      </c>
      <c r="E41">
        <v>54.7</v>
      </c>
      <c r="F41" t="s">
        <v>36</v>
      </c>
      <c r="G41">
        <v>73.7</v>
      </c>
    </row>
    <row r="42" spans="1:13" x14ac:dyDescent="0.3">
      <c r="A42" t="s">
        <v>108</v>
      </c>
      <c r="B42" t="s">
        <v>39</v>
      </c>
      <c r="C42">
        <v>68.8</v>
      </c>
      <c r="D42" t="s">
        <v>39</v>
      </c>
      <c r="E42">
        <v>68.8</v>
      </c>
      <c r="F42" t="s">
        <v>36</v>
      </c>
      <c r="G42">
        <v>89.7</v>
      </c>
      <c r="K42" t="s">
        <v>471</v>
      </c>
    </row>
    <row r="43" spans="1:13" ht="15" thickBot="1" x14ac:dyDescent="0.35">
      <c r="A43" t="s">
        <v>109</v>
      </c>
      <c r="B43" t="s">
        <v>39</v>
      </c>
      <c r="C43">
        <v>49.5</v>
      </c>
      <c r="D43" t="s">
        <v>39</v>
      </c>
      <c r="E43">
        <v>49.5</v>
      </c>
      <c r="F43" t="s">
        <v>36</v>
      </c>
      <c r="G43">
        <v>55.4</v>
      </c>
    </row>
    <row r="44" spans="1:13" x14ac:dyDescent="0.3">
      <c r="A44" t="s">
        <v>110</v>
      </c>
      <c r="B44" t="s">
        <v>39</v>
      </c>
      <c r="C44">
        <v>62.2</v>
      </c>
      <c r="D44" t="s">
        <v>39</v>
      </c>
      <c r="E44">
        <v>62.2</v>
      </c>
      <c r="F44" t="s">
        <v>36</v>
      </c>
      <c r="G44">
        <v>61.1</v>
      </c>
      <c r="K44" s="5"/>
      <c r="L44" s="5" t="s">
        <v>34</v>
      </c>
      <c r="M44" s="5" t="s">
        <v>34</v>
      </c>
    </row>
    <row r="45" spans="1:13" x14ac:dyDescent="0.3">
      <c r="A45" t="s">
        <v>115</v>
      </c>
      <c r="B45" t="s">
        <v>39</v>
      </c>
      <c r="C45">
        <v>50.2</v>
      </c>
      <c r="D45" t="s">
        <v>39</v>
      </c>
      <c r="E45">
        <v>50.2</v>
      </c>
      <c r="F45" t="s">
        <v>36</v>
      </c>
      <c r="G45">
        <v>48.6</v>
      </c>
      <c r="K45" t="s">
        <v>472</v>
      </c>
      <c r="L45">
        <v>68.515500000000017</v>
      </c>
      <c r="M45">
        <v>72.540499999999938</v>
      </c>
    </row>
    <row r="46" spans="1:13" x14ac:dyDescent="0.3">
      <c r="A46" t="s">
        <v>117</v>
      </c>
      <c r="B46" t="s">
        <v>39</v>
      </c>
      <c r="C46">
        <v>86.9</v>
      </c>
      <c r="D46" t="s">
        <v>39</v>
      </c>
      <c r="E46">
        <v>86.9</v>
      </c>
      <c r="F46" t="s">
        <v>36</v>
      </c>
      <c r="G46">
        <v>42</v>
      </c>
      <c r="K46" t="s">
        <v>473</v>
      </c>
      <c r="L46">
        <v>160.63287412060188</v>
      </c>
      <c r="M46">
        <v>138.54714547739547</v>
      </c>
    </row>
    <row r="47" spans="1:13" x14ac:dyDescent="0.3">
      <c r="A47" t="s">
        <v>118</v>
      </c>
      <c r="B47" t="s">
        <v>39</v>
      </c>
      <c r="C47">
        <v>59.8</v>
      </c>
      <c r="D47" t="s">
        <v>39</v>
      </c>
      <c r="E47">
        <v>59.8</v>
      </c>
      <c r="F47" t="s">
        <v>36</v>
      </c>
      <c r="G47">
        <v>63.2</v>
      </c>
      <c r="K47" t="s">
        <v>474</v>
      </c>
      <c r="L47">
        <v>200</v>
      </c>
      <c r="M47">
        <v>200</v>
      </c>
    </row>
    <row r="48" spans="1:13" x14ac:dyDescent="0.3">
      <c r="A48" t="s">
        <v>122</v>
      </c>
      <c r="B48" t="s">
        <v>39</v>
      </c>
      <c r="C48">
        <v>66.5</v>
      </c>
      <c r="D48" t="s">
        <v>39</v>
      </c>
      <c r="E48">
        <v>66.5</v>
      </c>
      <c r="F48" t="s">
        <v>36</v>
      </c>
      <c r="G48">
        <v>77.5</v>
      </c>
      <c r="K48" t="s">
        <v>475</v>
      </c>
      <c r="L48">
        <v>0</v>
      </c>
    </row>
    <row r="49" spans="1:13" x14ac:dyDescent="0.3">
      <c r="A49" t="s">
        <v>125</v>
      </c>
      <c r="B49" t="s">
        <v>39</v>
      </c>
      <c r="C49">
        <v>63.8</v>
      </c>
      <c r="D49" t="s">
        <v>39</v>
      </c>
      <c r="E49">
        <v>63.8</v>
      </c>
      <c r="F49" t="s">
        <v>36</v>
      </c>
      <c r="G49">
        <v>79.3</v>
      </c>
      <c r="K49" t="s">
        <v>476</v>
      </c>
      <c r="L49">
        <v>396</v>
      </c>
    </row>
    <row r="50" spans="1:13" x14ac:dyDescent="0.3">
      <c r="A50" t="s">
        <v>126</v>
      </c>
      <c r="B50" t="s">
        <v>39</v>
      </c>
      <c r="C50">
        <v>75.400000000000006</v>
      </c>
      <c r="D50" t="s">
        <v>39</v>
      </c>
      <c r="E50">
        <v>75.400000000000006</v>
      </c>
      <c r="F50" t="s">
        <v>36</v>
      </c>
      <c r="G50">
        <v>68.5</v>
      </c>
      <c r="K50" t="s">
        <v>477</v>
      </c>
      <c r="L50">
        <f>Part2_TwoSample!V72-3.29089927047309</f>
        <v>-3.2908992704730902</v>
      </c>
    </row>
    <row r="51" spans="1:13" x14ac:dyDescent="0.3">
      <c r="A51" t="s">
        <v>129</v>
      </c>
      <c r="B51" t="s">
        <v>39</v>
      </c>
      <c r="C51">
        <v>55.3</v>
      </c>
      <c r="D51" t="s">
        <v>39</v>
      </c>
      <c r="E51">
        <v>55.3</v>
      </c>
      <c r="F51" t="s">
        <v>36</v>
      </c>
      <c r="G51">
        <v>90.5</v>
      </c>
      <c r="K51" t="s">
        <v>478</v>
      </c>
      <c r="L51">
        <v>5.4410615899708919E-4</v>
      </c>
    </row>
    <row r="52" spans="1:13" x14ac:dyDescent="0.3">
      <c r="A52" t="s">
        <v>131</v>
      </c>
      <c r="B52" t="s">
        <v>39</v>
      </c>
      <c r="C52">
        <v>58.7</v>
      </c>
      <c r="D52" t="s">
        <v>39</v>
      </c>
      <c r="E52">
        <v>58.7</v>
      </c>
      <c r="F52" t="s">
        <v>36</v>
      </c>
      <c r="G52">
        <v>66.3</v>
      </c>
      <c r="K52" t="s">
        <v>479</v>
      </c>
      <c r="L52">
        <v>1.6487106011793371</v>
      </c>
    </row>
    <row r="53" spans="1:13" x14ac:dyDescent="0.3">
      <c r="A53" t="s">
        <v>136</v>
      </c>
      <c r="B53" t="s">
        <v>39</v>
      </c>
      <c r="C53">
        <v>54.5</v>
      </c>
      <c r="D53" t="s">
        <v>39</v>
      </c>
      <c r="E53">
        <v>54.5</v>
      </c>
      <c r="F53" t="s">
        <v>36</v>
      </c>
      <c r="G53">
        <v>78.099999999999994</v>
      </c>
      <c r="K53" t="s">
        <v>480</v>
      </c>
      <c r="L53">
        <v>1.0882123179941799E-3</v>
      </c>
    </row>
    <row r="54" spans="1:13" ht="15" thickBot="1" x14ac:dyDescent="0.35">
      <c r="A54" t="s">
        <v>138</v>
      </c>
      <c r="B54" t="s">
        <v>39</v>
      </c>
      <c r="C54">
        <v>65.7</v>
      </c>
      <c r="D54" t="s">
        <v>39</v>
      </c>
      <c r="E54">
        <v>65.7</v>
      </c>
      <c r="F54" t="s">
        <v>36</v>
      </c>
      <c r="G54">
        <v>72.900000000000006</v>
      </c>
      <c r="K54" s="4" t="s">
        <v>481</v>
      </c>
      <c r="L54" s="4">
        <v>1.9659726084695428</v>
      </c>
      <c r="M54" s="4"/>
    </row>
    <row r="55" spans="1:13" x14ac:dyDescent="0.3">
      <c r="A55" t="s">
        <v>139</v>
      </c>
      <c r="B55" t="s">
        <v>39</v>
      </c>
      <c r="C55">
        <v>85.7</v>
      </c>
      <c r="D55" t="s">
        <v>39</v>
      </c>
      <c r="E55">
        <v>85.7</v>
      </c>
      <c r="F55" t="s">
        <v>36</v>
      </c>
      <c r="G55">
        <v>90.1</v>
      </c>
    </row>
    <row r="56" spans="1:13" x14ac:dyDescent="0.3">
      <c r="A56" t="s">
        <v>140</v>
      </c>
      <c r="B56" t="s">
        <v>39</v>
      </c>
      <c r="C56">
        <v>78.8</v>
      </c>
      <c r="D56" t="s">
        <v>39</v>
      </c>
      <c r="E56">
        <v>78.8</v>
      </c>
      <c r="F56" t="s">
        <v>36</v>
      </c>
      <c r="G56">
        <v>79.2</v>
      </c>
    </row>
    <row r="57" spans="1:13" x14ac:dyDescent="0.3">
      <c r="A57" t="s">
        <v>141</v>
      </c>
      <c r="B57" t="s">
        <v>39</v>
      </c>
      <c r="C57">
        <v>79.099999999999994</v>
      </c>
      <c r="D57" t="s">
        <v>39</v>
      </c>
      <c r="E57">
        <v>79.099999999999994</v>
      </c>
      <c r="F57" t="s">
        <v>36</v>
      </c>
      <c r="G57">
        <v>68.5</v>
      </c>
    </row>
    <row r="58" spans="1:13" x14ac:dyDescent="0.3">
      <c r="A58" t="s">
        <v>142</v>
      </c>
      <c r="B58" t="s">
        <v>39</v>
      </c>
      <c r="C58">
        <v>80.400000000000006</v>
      </c>
      <c r="D58" t="s">
        <v>39</v>
      </c>
      <c r="E58">
        <v>80.400000000000006</v>
      </c>
      <c r="F58" t="s">
        <v>36</v>
      </c>
      <c r="G58">
        <v>68.5</v>
      </c>
    </row>
    <row r="59" spans="1:13" x14ac:dyDescent="0.3">
      <c r="A59" t="s">
        <v>143</v>
      </c>
      <c r="B59" t="s">
        <v>39</v>
      </c>
      <c r="C59">
        <v>72.400000000000006</v>
      </c>
      <c r="D59" t="s">
        <v>39</v>
      </c>
      <c r="E59">
        <v>72.400000000000006</v>
      </c>
      <c r="F59" t="s">
        <v>36</v>
      </c>
      <c r="G59">
        <v>78.7</v>
      </c>
    </row>
    <row r="60" spans="1:13" x14ac:dyDescent="0.3">
      <c r="A60" t="s">
        <v>144</v>
      </c>
      <c r="B60" t="s">
        <v>39</v>
      </c>
      <c r="C60">
        <v>78</v>
      </c>
      <c r="D60" t="s">
        <v>39</v>
      </c>
      <c r="E60">
        <v>78</v>
      </c>
      <c r="F60" t="s">
        <v>36</v>
      </c>
      <c r="G60">
        <v>93.6</v>
      </c>
    </row>
    <row r="61" spans="1:13" x14ac:dyDescent="0.3">
      <c r="A61" t="s">
        <v>147</v>
      </c>
      <c r="B61" t="s">
        <v>39</v>
      </c>
      <c r="C61">
        <v>47.3</v>
      </c>
      <c r="D61" t="s">
        <v>39</v>
      </c>
      <c r="E61">
        <v>47.3</v>
      </c>
      <c r="F61" t="s">
        <v>36</v>
      </c>
      <c r="G61">
        <v>65</v>
      </c>
    </row>
    <row r="62" spans="1:13" x14ac:dyDescent="0.3">
      <c r="A62" t="s">
        <v>152</v>
      </c>
      <c r="B62" t="s">
        <v>39</v>
      </c>
      <c r="C62">
        <v>76.400000000000006</v>
      </c>
      <c r="D62" t="s">
        <v>39</v>
      </c>
      <c r="E62">
        <v>76.400000000000006</v>
      </c>
      <c r="F62" t="s">
        <v>36</v>
      </c>
      <c r="G62">
        <v>86.2</v>
      </c>
    </row>
    <row r="63" spans="1:13" x14ac:dyDescent="0.3">
      <c r="A63" t="s">
        <v>153</v>
      </c>
      <c r="B63" t="s">
        <v>39</v>
      </c>
      <c r="C63">
        <v>70.2</v>
      </c>
      <c r="D63" t="s">
        <v>39</v>
      </c>
      <c r="E63">
        <v>70.2</v>
      </c>
      <c r="F63" t="s">
        <v>36</v>
      </c>
      <c r="G63">
        <v>76.7</v>
      </c>
    </row>
    <row r="64" spans="1:13" x14ac:dyDescent="0.3">
      <c r="A64" t="s">
        <v>157</v>
      </c>
      <c r="B64" t="s">
        <v>39</v>
      </c>
      <c r="C64">
        <v>55.6</v>
      </c>
      <c r="D64" t="s">
        <v>39</v>
      </c>
      <c r="E64">
        <v>55.6</v>
      </c>
      <c r="F64" t="s">
        <v>36</v>
      </c>
      <c r="G64">
        <v>86.1</v>
      </c>
    </row>
    <row r="65" spans="1:7" x14ac:dyDescent="0.3">
      <c r="A65" t="s">
        <v>158</v>
      </c>
      <c r="B65" t="s">
        <v>39</v>
      </c>
      <c r="C65">
        <v>84.4</v>
      </c>
      <c r="D65" t="s">
        <v>39</v>
      </c>
      <c r="E65">
        <v>84.4</v>
      </c>
      <c r="F65" t="s">
        <v>36</v>
      </c>
      <c r="G65">
        <v>76.7</v>
      </c>
    </row>
    <row r="66" spans="1:7" x14ac:dyDescent="0.3">
      <c r="A66" t="s">
        <v>159</v>
      </c>
      <c r="B66" t="s">
        <v>39</v>
      </c>
      <c r="C66">
        <v>84.5</v>
      </c>
      <c r="D66" t="s">
        <v>39</v>
      </c>
      <c r="E66">
        <v>84.5</v>
      </c>
      <c r="F66" t="s">
        <v>36</v>
      </c>
      <c r="G66">
        <v>73</v>
      </c>
    </row>
    <row r="67" spans="1:7" x14ac:dyDescent="0.3">
      <c r="A67" t="s">
        <v>161</v>
      </c>
      <c r="B67" t="s">
        <v>39</v>
      </c>
      <c r="C67">
        <v>67.2</v>
      </c>
      <c r="D67" t="s">
        <v>39</v>
      </c>
      <c r="E67">
        <v>67.2</v>
      </c>
      <c r="F67" t="s">
        <v>36</v>
      </c>
      <c r="G67">
        <v>68.7</v>
      </c>
    </row>
    <row r="68" spans="1:7" x14ac:dyDescent="0.3">
      <c r="A68" t="s">
        <v>162</v>
      </c>
      <c r="B68" t="s">
        <v>39</v>
      </c>
      <c r="C68">
        <v>59.3</v>
      </c>
      <c r="D68" t="s">
        <v>39</v>
      </c>
      <c r="E68">
        <v>59.3</v>
      </c>
      <c r="F68" t="s">
        <v>36</v>
      </c>
      <c r="G68">
        <v>76</v>
      </c>
    </row>
    <row r="69" spans="1:7" x14ac:dyDescent="0.3">
      <c r="A69" t="s">
        <v>165</v>
      </c>
      <c r="B69" t="s">
        <v>39</v>
      </c>
      <c r="C69">
        <v>84.3</v>
      </c>
      <c r="D69" t="s">
        <v>39</v>
      </c>
      <c r="E69">
        <v>84.3</v>
      </c>
      <c r="F69" t="s">
        <v>36</v>
      </c>
      <c r="G69">
        <v>74.099999999999994</v>
      </c>
    </row>
    <row r="70" spans="1:7" x14ac:dyDescent="0.3">
      <c r="A70" t="s">
        <v>168</v>
      </c>
      <c r="B70" t="s">
        <v>39</v>
      </c>
      <c r="C70">
        <v>66.3</v>
      </c>
      <c r="D70" t="s">
        <v>39</v>
      </c>
      <c r="E70">
        <v>66.3</v>
      </c>
      <c r="F70" t="s">
        <v>36</v>
      </c>
      <c r="G70">
        <v>77.8</v>
      </c>
    </row>
    <row r="71" spans="1:7" x14ac:dyDescent="0.3">
      <c r="A71" t="s">
        <v>170</v>
      </c>
      <c r="B71" t="s">
        <v>39</v>
      </c>
      <c r="C71">
        <v>89</v>
      </c>
      <c r="D71" t="s">
        <v>39</v>
      </c>
      <c r="E71">
        <v>89</v>
      </c>
      <c r="F71" t="s">
        <v>36</v>
      </c>
      <c r="G71">
        <v>59.5</v>
      </c>
    </row>
    <row r="72" spans="1:7" x14ac:dyDescent="0.3">
      <c r="A72" t="s">
        <v>171</v>
      </c>
      <c r="B72" t="s">
        <v>39</v>
      </c>
      <c r="C72">
        <v>41</v>
      </c>
      <c r="D72" t="s">
        <v>39</v>
      </c>
      <c r="E72">
        <v>41</v>
      </c>
      <c r="F72" t="s">
        <v>36</v>
      </c>
      <c r="G72">
        <v>74.3</v>
      </c>
    </row>
    <row r="73" spans="1:7" x14ac:dyDescent="0.3">
      <c r="A73" t="s">
        <v>172</v>
      </c>
      <c r="B73" t="s">
        <v>39</v>
      </c>
      <c r="C73">
        <v>68</v>
      </c>
      <c r="D73" t="s">
        <v>39</v>
      </c>
      <c r="E73">
        <v>68</v>
      </c>
      <c r="F73" t="s">
        <v>36</v>
      </c>
      <c r="G73">
        <v>70.2</v>
      </c>
    </row>
    <row r="74" spans="1:7" x14ac:dyDescent="0.3">
      <c r="A74" t="s">
        <v>177</v>
      </c>
      <c r="B74" t="s">
        <v>39</v>
      </c>
      <c r="C74">
        <v>61.7</v>
      </c>
      <c r="D74" t="s">
        <v>39</v>
      </c>
      <c r="E74">
        <v>61.7</v>
      </c>
      <c r="F74" t="s">
        <v>36</v>
      </c>
      <c r="G74">
        <v>72</v>
      </c>
    </row>
    <row r="75" spans="1:7" x14ac:dyDescent="0.3">
      <c r="A75" t="s">
        <v>178</v>
      </c>
      <c r="B75" t="s">
        <v>39</v>
      </c>
      <c r="C75">
        <v>71</v>
      </c>
      <c r="D75" t="s">
        <v>39</v>
      </c>
      <c r="E75">
        <v>71</v>
      </c>
      <c r="F75" t="s">
        <v>36</v>
      </c>
      <c r="G75">
        <v>56</v>
      </c>
    </row>
    <row r="76" spans="1:7" x14ac:dyDescent="0.3">
      <c r="A76" t="s">
        <v>180</v>
      </c>
      <c r="B76" t="s">
        <v>39</v>
      </c>
      <c r="C76">
        <v>64.7</v>
      </c>
      <c r="D76" t="s">
        <v>39</v>
      </c>
      <c r="E76">
        <v>64.7</v>
      </c>
      <c r="F76" t="s">
        <v>36</v>
      </c>
      <c r="G76">
        <v>75.7</v>
      </c>
    </row>
    <row r="77" spans="1:7" x14ac:dyDescent="0.3">
      <c r="A77" t="s">
        <v>181</v>
      </c>
      <c r="B77" t="s">
        <v>39</v>
      </c>
      <c r="C77">
        <v>79.400000000000006</v>
      </c>
      <c r="D77" t="s">
        <v>39</v>
      </c>
      <c r="E77">
        <v>79.400000000000006</v>
      </c>
      <c r="F77" t="s">
        <v>36</v>
      </c>
      <c r="G77">
        <v>89.8</v>
      </c>
    </row>
    <row r="78" spans="1:7" x14ac:dyDescent="0.3">
      <c r="A78" t="s">
        <v>183</v>
      </c>
      <c r="B78" t="s">
        <v>39</v>
      </c>
      <c r="C78">
        <v>67</v>
      </c>
      <c r="D78" t="s">
        <v>39</v>
      </c>
      <c r="E78">
        <v>67</v>
      </c>
      <c r="F78" t="s">
        <v>36</v>
      </c>
      <c r="G78">
        <v>67.599999999999994</v>
      </c>
    </row>
    <row r="79" spans="1:7" x14ac:dyDescent="0.3">
      <c r="A79" t="s">
        <v>184</v>
      </c>
      <c r="B79" t="s">
        <v>39</v>
      </c>
      <c r="C79">
        <v>69</v>
      </c>
      <c r="D79" t="s">
        <v>39</v>
      </c>
      <c r="E79">
        <v>69</v>
      </c>
      <c r="F79" t="s">
        <v>36</v>
      </c>
      <c r="G79">
        <v>64.900000000000006</v>
      </c>
    </row>
    <row r="80" spans="1:7" x14ac:dyDescent="0.3">
      <c r="A80" t="s">
        <v>185</v>
      </c>
      <c r="B80" t="s">
        <v>39</v>
      </c>
      <c r="C80">
        <v>74.3</v>
      </c>
      <c r="D80" t="s">
        <v>39</v>
      </c>
      <c r="E80">
        <v>74.3</v>
      </c>
      <c r="F80" t="s">
        <v>36</v>
      </c>
      <c r="G80">
        <v>75.599999999999994</v>
      </c>
    </row>
    <row r="81" spans="1:7" x14ac:dyDescent="0.3">
      <c r="A81" t="s">
        <v>187</v>
      </c>
      <c r="B81" t="s">
        <v>39</v>
      </c>
      <c r="C81">
        <v>70.3</v>
      </c>
      <c r="D81" t="s">
        <v>39</v>
      </c>
      <c r="E81">
        <v>70.3</v>
      </c>
      <c r="F81" t="s">
        <v>36</v>
      </c>
      <c r="G81">
        <v>69.099999999999994</v>
      </c>
    </row>
    <row r="82" spans="1:7" x14ac:dyDescent="0.3">
      <c r="A82" t="s">
        <v>190</v>
      </c>
      <c r="B82" t="s">
        <v>39</v>
      </c>
      <c r="C82">
        <v>78.8</v>
      </c>
      <c r="D82" t="s">
        <v>39</v>
      </c>
      <c r="E82">
        <v>78.8</v>
      </c>
      <c r="F82" t="s">
        <v>36</v>
      </c>
      <c r="G82">
        <v>78.7</v>
      </c>
    </row>
    <row r="83" spans="1:7" x14ac:dyDescent="0.3">
      <c r="A83" t="s">
        <v>191</v>
      </c>
      <c r="B83" t="s">
        <v>39</v>
      </c>
      <c r="C83">
        <v>80.8</v>
      </c>
      <c r="D83" t="s">
        <v>39</v>
      </c>
      <c r="E83">
        <v>80.8</v>
      </c>
      <c r="F83" t="s">
        <v>36</v>
      </c>
      <c r="G83">
        <v>54.6</v>
      </c>
    </row>
    <row r="84" spans="1:7" x14ac:dyDescent="0.3">
      <c r="A84" t="s">
        <v>192</v>
      </c>
      <c r="B84" t="s">
        <v>39</v>
      </c>
      <c r="C84">
        <v>65.2</v>
      </c>
      <c r="D84" t="s">
        <v>39</v>
      </c>
      <c r="E84">
        <v>65.2</v>
      </c>
      <c r="F84" t="s">
        <v>36</v>
      </c>
      <c r="G84">
        <v>85</v>
      </c>
    </row>
    <row r="85" spans="1:7" x14ac:dyDescent="0.3">
      <c r="A85" t="s">
        <v>193</v>
      </c>
      <c r="B85" t="s">
        <v>39</v>
      </c>
      <c r="C85">
        <v>79.400000000000006</v>
      </c>
      <c r="D85" t="s">
        <v>39</v>
      </c>
      <c r="E85">
        <v>79.400000000000006</v>
      </c>
      <c r="F85" t="s">
        <v>36</v>
      </c>
      <c r="G85">
        <v>65.7</v>
      </c>
    </row>
    <row r="86" spans="1:7" x14ac:dyDescent="0.3">
      <c r="A86" t="s">
        <v>194</v>
      </c>
      <c r="B86" t="s">
        <v>39</v>
      </c>
      <c r="C86">
        <v>73.599999999999994</v>
      </c>
      <c r="D86" t="s">
        <v>39</v>
      </c>
      <c r="E86">
        <v>73.599999999999994</v>
      </c>
      <c r="F86" t="s">
        <v>36</v>
      </c>
      <c r="G86">
        <v>81.900000000000006</v>
      </c>
    </row>
    <row r="87" spans="1:7" x14ac:dyDescent="0.3">
      <c r="A87" t="s">
        <v>200</v>
      </c>
      <c r="B87" t="s">
        <v>39</v>
      </c>
      <c r="C87">
        <v>69</v>
      </c>
      <c r="D87" t="s">
        <v>39</v>
      </c>
      <c r="E87">
        <v>69</v>
      </c>
      <c r="F87" t="s">
        <v>36</v>
      </c>
      <c r="G87">
        <v>69.400000000000006</v>
      </c>
    </row>
    <row r="88" spans="1:7" x14ac:dyDescent="0.3">
      <c r="A88" t="s">
        <v>202</v>
      </c>
      <c r="B88" t="s">
        <v>39</v>
      </c>
      <c r="C88">
        <v>82.1</v>
      </c>
      <c r="D88" t="s">
        <v>39</v>
      </c>
      <c r="E88">
        <v>82.1</v>
      </c>
      <c r="F88" t="s">
        <v>36</v>
      </c>
      <c r="G88">
        <v>80.599999999999994</v>
      </c>
    </row>
    <row r="89" spans="1:7" x14ac:dyDescent="0.3">
      <c r="A89" t="s">
        <v>204</v>
      </c>
      <c r="B89" t="s">
        <v>39</v>
      </c>
      <c r="C89">
        <v>72.900000000000006</v>
      </c>
      <c r="D89" t="s">
        <v>39</v>
      </c>
      <c r="E89">
        <v>72.900000000000006</v>
      </c>
      <c r="F89" t="s">
        <v>36</v>
      </c>
      <c r="G89">
        <v>66.900000000000006</v>
      </c>
    </row>
    <row r="90" spans="1:7" x14ac:dyDescent="0.3">
      <c r="A90" t="s">
        <v>205</v>
      </c>
      <c r="B90" t="s">
        <v>39</v>
      </c>
      <c r="C90">
        <v>53.9</v>
      </c>
      <c r="D90" t="s">
        <v>39</v>
      </c>
      <c r="E90">
        <v>53.9</v>
      </c>
      <c r="F90" t="s">
        <v>36</v>
      </c>
      <c r="G90">
        <v>55.9</v>
      </c>
    </row>
    <row r="91" spans="1:7" x14ac:dyDescent="0.3">
      <c r="A91" t="s">
        <v>207</v>
      </c>
      <c r="B91" t="s">
        <v>39</v>
      </c>
      <c r="C91">
        <v>87.6</v>
      </c>
      <c r="D91" t="s">
        <v>39</v>
      </c>
      <c r="E91">
        <v>87.6</v>
      </c>
      <c r="F91" t="s">
        <v>36</v>
      </c>
      <c r="G91">
        <v>61.7</v>
      </c>
    </row>
    <row r="92" spans="1:7" x14ac:dyDescent="0.3">
      <c r="A92" t="s">
        <v>208</v>
      </c>
      <c r="B92" t="s">
        <v>39</v>
      </c>
      <c r="C92">
        <v>31.9</v>
      </c>
      <c r="D92" t="s">
        <v>39</v>
      </c>
      <c r="E92">
        <v>31.9</v>
      </c>
      <c r="F92" t="s">
        <v>36</v>
      </c>
      <c r="G92">
        <v>87.5</v>
      </c>
    </row>
    <row r="93" spans="1:7" x14ac:dyDescent="0.3">
      <c r="A93" t="s">
        <v>209</v>
      </c>
      <c r="B93" t="s">
        <v>39</v>
      </c>
      <c r="C93">
        <v>79.900000000000006</v>
      </c>
      <c r="D93" t="s">
        <v>39</v>
      </c>
      <c r="E93">
        <v>79.900000000000006</v>
      </c>
      <c r="F93" t="s">
        <v>36</v>
      </c>
      <c r="G93">
        <v>71.8</v>
      </c>
    </row>
    <row r="94" spans="1:7" x14ac:dyDescent="0.3">
      <c r="A94" t="s">
        <v>210</v>
      </c>
      <c r="B94" t="s">
        <v>39</v>
      </c>
      <c r="C94">
        <v>66.7</v>
      </c>
      <c r="D94" t="s">
        <v>39</v>
      </c>
      <c r="E94">
        <v>66.7</v>
      </c>
      <c r="F94" t="s">
        <v>36</v>
      </c>
      <c r="G94">
        <v>73.900000000000006</v>
      </c>
    </row>
    <row r="95" spans="1:7" x14ac:dyDescent="0.3">
      <c r="A95" t="s">
        <v>211</v>
      </c>
      <c r="B95" t="s">
        <v>39</v>
      </c>
      <c r="C95">
        <v>64</v>
      </c>
      <c r="D95" t="s">
        <v>39</v>
      </c>
      <c r="E95">
        <v>64</v>
      </c>
      <c r="F95" t="s">
        <v>36</v>
      </c>
      <c r="G95">
        <v>91.4</v>
      </c>
    </row>
    <row r="96" spans="1:7" x14ac:dyDescent="0.3">
      <c r="A96" t="s">
        <v>213</v>
      </c>
      <c r="B96" t="s">
        <v>39</v>
      </c>
      <c r="C96">
        <v>71.5</v>
      </c>
      <c r="D96" t="s">
        <v>39</v>
      </c>
      <c r="E96">
        <v>71.5</v>
      </c>
      <c r="F96" t="s">
        <v>36</v>
      </c>
      <c r="G96">
        <v>56.6</v>
      </c>
    </row>
    <row r="97" spans="1:7" x14ac:dyDescent="0.3">
      <c r="A97" t="s">
        <v>215</v>
      </c>
      <c r="B97" t="s">
        <v>39</v>
      </c>
      <c r="C97">
        <v>79.8</v>
      </c>
      <c r="D97" t="s">
        <v>39</v>
      </c>
      <c r="E97">
        <v>79.8</v>
      </c>
      <c r="F97" t="s">
        <v>36</v>
      </c>
      <c r="G97">
        <v>60.1</v>
      </c>
    </row>
    <row r="98" spans="1:7" x14ac:dyDescent="0.3">
      <c r="A98" t="s">
        <v>216</v>
      </c>
      <c r="B98" t="s">
        <v>39</v>
      </c>
      <c r="C98">
        <v>59.2</v>
      </c>
      <c r="D98" t="s">
        <v>39</v>
      </c>
      <c r="E98">
        <v>59.2</v>
      </c>
      <c r="F98" t="s">
        <v>36</v>
      </c>
      <c r="G98">
        <v>72.2</v>
      </c>
    </row>
    <row r="99" spans="1:7" x14ac:dyDescent="0.3">
      <c r="A99" t="s">
        <v>217</v>
      </c>
      <c r="B99" t="s">
        <v>39</v>
      </c>
      <c r="C99">
        <v>71.8</v>
      </c>
      <c r="D99" t="s">
        <v>39</v>
      </c>
      <c r="E99">
        <v>71.8</v>
      </c>
      <c r="F99" t="s">
        <v>36</v>
      </c>
      <c r="G99">
        <v>76.7</v>
      </c>
    </row>
    <row r="100" spans="1:7" x14ac:dyDescent="0.3">
      <c r="A100" t="s">
        <v>218</v>
      </c>
      <c r="B100" t="s">
        <v>39</v>
      </c>
      <c r="C100">
        <v>46.7</v>
      </c>
      <c r="D100" t="s">
        <v>39</v>
      </c>
      <c r="E100">
        <v>46.7</v>
      </c>
      <c r="F100" t="s">
        <v>36</v>
      </c>
      <c r="G100">
        <v>86.6</v>
      </c>
    </row>
    <row r="101" spans="1:7" x14ac:dyDescent="0.3">
      <c r="A101" t="s">
        <v>219</v>
      </c>
      <c r="B101" t="s">
        <v>39</v>
      </c>
      <c r="C101">
        <v>87.7</v>
      </c>
      <c r="D101" t="s">
        <v>39</v>
      </c>
      <c r="E101">
        <v>87.7</v>
      </c>
      <c r="F101" t="s">
        <v>36</v>
      </c>
      <c r="G101">
        <v>74.3</v>
      </c>
    </row>
    <row r="102" spans="1:7" x14ac:dyDescent="0.3">
      <c r="A102" t="s">
        <v>220</v>
      </c>
      <c r="B102" t="s">
        <v>39</v>
      </c>
      <c r="C102">
        <v>63.9</v>
      </c>
      <c r="D102" t="s">
        <v>39</v>
      </c>
      <c r="E102">
        <v>63.9</v>
      </c>
      <c r="F102" t="s">
        <v>36</v>
      </c>
      <c r="G102">
        <v>86.5</v>
      </c>
    </row>
    <row r="103" spans="1:7" x14ac:dyDescent="0.3">
      <c r="A103" t="s">
        <v>221</v>
      </c>
      <c r="B103" t="s">
        <v>39</v>
      </c>
      <c r="C103">
        <v>71.8</v>
      </c>
      <c r="D103" t="s">
        <v>39</v>
      </c>
      <c r="E103">
        <v>71.8</v>
      </c>
      <c r="F103" t="s">
        <v>36</v>
      </c>
      <c r="G103">
        <v>59.7</v>
      </c>
    </row>
    <row r="104" spans="1:7" x14ac:dyDescent="0.3">
      <c r="A104" t="s">
        <v>222</v>
      </c>
      <c r="B104" t="s">
        <v>39</v>
      </c>
      <c r="C104">
        <v>60.6</v>
      </c>
      <c r="D104" t="s">
        <v>39</v>
      </c>
      <c r="E104">
        <v>60.6</v>
      </c>
      <c r="F104" t="s">
        <v>36</v>
      </c>
      <c r="G104">
        <v>77.7</v>
      </c>
    </row>
    <row r="105" spans="1:7" x14ac:dyDescent="0.3">
      <c r="A105" t="s">
        <v>226</v>
      </c>
      <c r="B105" t="s">
        <v>39</v>
      </c>
      <c r="C105">
        <v>65.7</v>
      </c>
      <c r="D105" t="s">
        <v>39</v>
      </c>
      <c r="E105">
        <v>65.7</v>
      </c>
      <c r="F105" t="s">
        <v>36</v>
      </c>
      <c r="G105">
        <v>72.8</v>
      </c>
    </row>
    <row r="106" spans="1:7" x14ac:dyDescent="0.3">
      <c r="A106" t="s">
        <v>227</v>
      </c>
      <c r="B106" t="s">
        <v>39</v>
      </c>
      <c r="C106">
        <v>95.2</v>
      </c>
      <c r="D106" t="s">
        <v>39</v>
      </c>
      <c r="E106">
        <v>95.2</v>
      </c>
      <c r="F106" t="s">
        <v>36</v>
      </c>
      <c r="G106">
        <v>69.900000000000006</v>
      </c>
    </row>
    <row r="107" spans="1:7" x14ac:dyDescent="0.3">
      <c r="A107" t="s">
        <v>228</v>
      </c>
      <c r="B107" t="s">
        <v>39</v>
      </c>
      <c r="C107">
        <v>55.3</v>
      </c>
      <c r="D107" t="s">
        <v>39</v>
      </c>
      <c r="E107">
        <v>55.3</v>
      </c>
      <c r="F107" t="s">
        <v>36</v>
      </c>
      <c r="G107">
        <v>67.8</v>
      </c>
    </row>
    <row r="108" spans="1:7" x14ac:dyDescent="0.3">
      <c r="A108" t="s">
        <v>230</v>
      </c>
      <c r="B108" t="s">
        <v>39</v>
      </c>
      <c r="C108">
        <v>70</v>
      </c>
      <c r="D108" t="s">
        <v>39</v>
      </c>
      <c r="E108">
        <v>70</v>
      </c>
      <c r="F108" t="s">
        <v>36</v>
      </c>
      <c r="G108">
        <v>56.4</v>
      </c>
    </row>
    <row r="109" spans="1:7" x14ac:dyDescent="0.3">
      <c r="A109" t="s">
        <v>237</v>
      </c>
      <c r="B109" t="s">
        <v>39</v>
      </c>
      <c r="C109">
        <v>82.8</v>
      </c>
      <c r="D109" t="s">
        <v>39</v>
      </c>
      <c r="E109">
        <v>82.8</v>
      </c>
      <c r="F109" t="s">
        <v>36</v>
      </c>
      <c r="G109">
        <v>59.8</v>
      </c>
    </row>
    <row r="110" spans="1:7" x14ac:dyDescent="0.3">
      <c r="A110" t="s">
        <v>242</v>
      </c>
      <c r="B110" t="s">
        <v>39</v>
      </c>
      <c r="C110">
        <v>95.7</v>
      </c>
      <c r="D110" t="s">
        <v>39</v>
      </c>
      <c r="E110">
        <v>95.7</v>
      </c>
      <c r="F110" t="s">
        <v>36</v>
      </c>
      <c r="G110">
        <v>91.9</v>
      </c>
    </row>
    <row r="111" spans="1:7" x14ac:dyDescent="0.3">
      <c r="A111" t="s">
        <v>243</v>
      </c>
      <c r="B111" t="s">
        <v>39</v>
      </c>
      <c r="C111">
        <v>66.900000000000006</v>
      </c>
      <c r="D111" t="s">
        <v>39</v>
      </c>
      <c r="E111">
        <v>66.900000000000006</v>
      </c>
      <c r="F111" t="s">
        <v>36</v>
      </c>
      <c r="G111">
        <v>70.8</v>
      </c>
    </row>
    <row r="112" spans="1:7" x14ac:dyDescent="0.3">
      <c r="A112" t="s">
        <v>244</v>
      </c>
      <c r="B112" t="s">
        <v>39</v>
      </c>
      <c r="C112">
        <v>67</v>
      </c>
      <c r="D112" t="s">
        <v>39</v>
      </c>
      <c r="E112">
        <v>67</v>
      </c>
      <c r="F112" t="s">
        <v>36</v>
      </c>
      <c r="G112">
        <v>86.7</v>
      </c>
    </row>
    <row r="113" spans="1:7" x14ac:dyDescent="0.3">
      <c r="A113" t="s">
        <v>246</v>
      </c>
      <c r="B113" t="s">
        <v>39</v>
      </c>
      <c r="C113">
        <v>70.900000000000006</v>
      </c>
      <c r="D113" t="s">
        <v>39</v>
      </c>
      <c r="E113">
        <v>70.900000000000006</v>
      </c>
      <c r="F113" t="s">
        <v>36</v>
      </c>
      <c r="G113">
        <v>63.2</v>
      </c>
    </row>
    <row r="114" spans="1:7" x14ac:dyDescent="0.3">
      <c r="A114" t="s">
        <v>248</v>
      </c>
      <c r="B114" t="s">
        <v>39</v>
      </c>
      <c r="C114">
        <v>65.400000000000006</v>
      </c>
      <c r="D114" t="s">
        <v>39</v>
      </c>
      <c r="E114">
        <v>65.400000000000006</v>
      </c>
      <c r="F114" t="s">
        <v>36</v>
      </c>
      <c r="G114">
        <v>91.8</v>
      </c>
    </row>
    <row r="115" spans="1:7" x14ac:dyDescent="0.3">
      <c r="A115" t="s">
        <v>249</v>
      </c>
      <c r="B115" t="s">
        <v>39</v>
      </c>
      <c r="C115">
        <v>59</v>
      </c>
      <c r="D115" t="s">
        <v>39</v>
      </c>
      <c r="E115">
        <v>59</v>
      </c>
      <c r="F115" t="s">
        <v>36</v>
      </c>
      <c r="G115">
        <v>95.9</v>
      </c>
    </row>
    <row r="116" spans="1:7" x14ac:dyDescent="0.3">
      <c r="A116" t="s">
        <v>252</v>
      </c>
      <c r="B116" t="s">
        <v>39</v>
      </c>
      <c r="C116">
        <v>57.1</v>
      </c>
      <c r="D116" t="s">
        <v>39</v>
      </c>
      <c r="E116">
        <v>57.1</v>
      </c>
      <c r="F116" t="s">
        <v>36</v>
      </c>
      <c r="G116">
        <v>87.8</v>
      </c>
    </row>
    <row r="117" spans="1:7" x14ac:dyDescent="0.3">
      <c r="A117" t="s">
        <v>258</v>
      </c>
      <c r="B117" t="s">
        <v>39</v>
      </c>
      <c r="C117">
        <v>67.3</v>
      </c>
      <c r="D117" t="s">
        <v>39</v>
      </c>
      <c r="E117">
        <v>67.3</v>
      </c>
      <c r="F117" t="s">
        <v>36</v>
      </c>
      <c r="G117">
        <v>97.6</v>
      </c>
    </row>
    <row r="118" spans="1:7" x14ac:dyDescent="0.3">
      <c r="A118" t="s">
        <v>260</v>
      </c>
      <c r="B118" t="s">
        <v>39</v>
      </c>
      <c r="C118">
        <v>74.8</v>
      </c>
      <c r="D118" t="s">
        <v>39</v>
      </c>
      <c r="E118">
        <v>74.8</v>
      </c>
      <c r="F118" t="s">
        <v>36</v>
      </c>
      <c r="G118">
        <v>78.7</v>
      </c>
    </row>
    <row r="119" spans="1:7" x14ac:dyDescent="0.3">
      <c r="A119" t="s">
        <v>261</v>
      </c>
      <c r="B119" t="s">
        <v>39</v>
      </c>
      <c r="C119">
        <v>55.4</v>
      </c>
      <c r="D119" t="s">
        <v>39</v>
      </c>
      <c r="E119">
        <v>55.4</v>
      </c>
      <c r="F119" t="s">
        <v>36</v>
      </c>
      <c r="G119">
        <v>65.3</v>
      </c>
    </row>
    <row r="120" spans="1:7" x14ac:dyDescent="0.3">
      <c r="A120" t="s">
        <v>262</v>
      </c>
      <c r="B120" t="s">
        <v>39</v>
      </c>
      <c r="C120">
        <v>50.7</v>
      </c>
      <c r="D120" t="s">
        <v>39</v>
      </c>
      <c r="E120">
        <v>50.7</v>
      </c>
      <c r="F120" t="s">
        <v>36</v>
      </c>
      <c r="G120">
        <v>84.8</v>
      </c>
    </row>
    <row r="121" spans="1:7" x14ac:dyDescent="0.3">
      <c r="A121" t="s">
        <v>263</v>
      </c>
      <c r="B121" t="s">
        <v>39</v>
      </c>
      <c r="C121">
        <v>94.7</v>
      </c>
      <c r="D121" t="s">
        <v>39</v>
      </c>
      <c r="E121">
        <v>94.7</v>
      </c>
      <c r="F121" t="s">
        <v>36</v>
      </c>
      <c r="G121">
        <v>70.3</v>
      </c>
    </row>
    <row r="122" spans="1:7" x14ac:dyDescent="0.3">
      <c r="A122" t="s">
        <v>265</v>
      </c>
      <c r="B122" t="s">
        <v>39</v>
      </c>
      <c r="C122">
        <v>61.6</v>
      </c>
      <c r="D122" t="s">
        <v>39</v>
      </c>
      <c r="E122">
        <v>61.6</v>
      </c>
      <c r="F122" t="s">
        <v>36</v>
      </c>
      <c r="G122">
        <v>57.8</v>
      </c>
    </row>
    <row r="123" spans="1:7" x14ac:dyDescent="0.3">
      <c r="A123" t="s">
        <v>267</v>
      </c>
      <c r="B123" t="s">
        <v>39</v>
      </c>
      <c r="C123">
        <v>49.8</v>
      </c>
      <c r="D123" t="s">
        <v>39</v>
      </c>
      <c r="E123">
        <v>49.8</v>
      </c>
      <c r="F123" t="s">
        <v>36</v>
      </c>
      <c r="G123">
        <v>99.5</v>
      </c>
    </row>
    <row r="124" spans="1:7" x14ac:dyDescent="0.3">
      <c r="A124" t="s">
        <v>270</v>
      </c>
      <c r="B124" t="s">
        <v>39</v>
      </c>
      <c r="C124">
        <v>74.2</v>
      </c>
      <c r="D124" t="s">
        <v>39</v>
      </c>
      <c r="E124">
        <v>74.2</v>
      </c>
      <c r="F124" t="s">
        <v>36</v>
      </c>
      <c r="G124">
        <v>71.3</v>
      </c>
    </row>
    <row r="125" spans="1:7" x14ac:dyDescent="0.3">
      <c r="A125" t="s">
        <v>271</v>
      </c>
      <c r="B125" t="s">
        <v>39</v>
      </c>
      <c r="C125">
        <v>59.6</v>
      </c>
      <c r="D125" t="s">
        <v>39</v>
      </c>
      <c r="E125">
        <v>59.6</v>
      </c>
      <c r="F125" t="s">
        <v>36</v>
      </c>
      <c r="G125">
        <v>64.3</v>
      </c>
    </row>
    <row r="126" spans="1:7" x14ac:dyDescent="0.3">
      <c r="A126" t="s">
        <v>278</v>
      </c>
      <c r="B126" t="s">
        <v>39</v>
      </c>
      <c r="C126">
        <v>63.5</v>
      </c>
      <c r="D126" t="s">
        <v>39</v>
      </c>
      <c r="E126">
        <v>63.5</v>
      </c>
      <c r="F126" t="s">
        <v>36</v>
      </c>
      <c r="G126">
        <v>86.4</v>
      </c>
    </row>
    <row r="127" spans="1:7" x14ac:dyDescent="0.3">
      <c r="A127" t="s">
        <v>279</v>
      </c>
      <c r="B127" t="s">
        <v>39</v>
      </c>
      <c r="C127">
        <v>75</v>
      </c>
      <c r="D127" t="s">
        <v>39</v>
      </c>
      <c r="E127">
        <v>75</v>
      </c>
      <c r="F127" t="s">
        <v>36</v>
      </c>
      <c r="G127">
        <v>58.3</v>
      </c>
    </row>
    <row r="128" spans="1:7" x14ac:dyDescent="0.3">
      <c r="A128" t="s">
        <v>281</v>
      </c>
      <c r="B128" t="s">
        <v>39</v>
      </c>
      <c r="C128">
        <v>32.5</v>
      </c>
      <c r="D128" t="s">
        <v>39</v>
      </c>
      <c r="E128">
        <v>32.5</v>
      </c>
      <c r="F128" t="s">
        <v>36</v>
      </c>
      <c r="G128">
        <v>78.400000000000006</v>
      </c>
    </row>
    <row r="129" spans="1:7" x14ac:dyDescent="0.3">
      <c r="A129" t="s">
        <v>282</v>
      </c>
      <c r="B129" t="s">
        <v>39</v>
      </c>
      <c r="C129">
        <v>72</v>
      </c>
      <c r="D129" t="s">
        <v>39</v>
      </c>
      <c r="E129">
        <v>72</v>
      </c>
      <c r="F129" t="s">
        <v>36</v>
      </c>
      <c r="G129">
        <v>76.5</v>
      </c>
    </row>
    <row r="130" spans="1:7" x14ac:dyDescent="0.3">
      <c r="A130" t="s">
        <v>284</v>
      </c>
      <c r="B130" t="s">
        <v>39</v>
      </c>
      <c r="C130">
        <v>76.099999999999994</v>
      </c>
      <c r="D130" t="s">
        <v>39</v>
      </c>
      <c r="E130">
        <v>76.099999999999994</v>
      </c>
      <c r="F130" t="s">
        <v>36</v>
      </c>
      <c r="G130">
        <v>59.2</v>
      </c>
    </row>
    <row r="131" spans="1:7" x14ac:dyDescent="0.3">
      <c r="A131" t="s">
        <v>287</v>
      </c>
      <c r="B131" t="s">
        <v>39</v>
      </c>
      <c r="C131">
        <v>97.5</v>
      </c>
      <c r="D131" t="s">
        <v>39</v>
      </c>
      <c r="E131">
        <v>97.5</v>
      </c>
      <c r="F131" t="s">
        <v>36</v>
      </c>
      <c r="G131">
        <v>90.2</v>
      </c>
    </row>
    <row r="132" spans="1:7" x14ac:dyDescent="0.3">
      <c r="A132" t="s">
        <v>289</v>
      </c>
      <c r="B132" t="s">
        <v>39</v>
      </c>
      <c r="C132">
        <v>59.2</v>
      </c>
      <c r="D132" t="s">
        <v>39</v>
      </c>
      <c r="E132">
        <v>59.2</v>
      </c>
      <c r="F132" t="s">
        <v>36</v>
      </c>
      <c r="G132">
        <v>64.900000000000006</v>
      </c>
    </row>
    <row r="133" spans="1:7" x14ac:dyDescent="0.3">
      <c r="A133" t="s">
        <v>291</v>
      </c>
      <c r="B133" t="s">
        <v>39</v>
      </c>
      <c r="C133">
        <v>48.4</v>
      </c>
      <c r="D133" t="s">
        <v>39</v>
      </c>
      <c r="E133">
        <v>48.4</v>
      </c>
      <c r="F133" t="s">
        <v>36</v>
      </c>
      <c r="G133">
        <v>77.3</v>
      </c>
    </row>
    <row r="134" spans="1:7" x14ac:dyDescent="0.3">
      <c r="A134" t="s">
        <v>293</v>
      </c>
      <c r="B134" t="s">
        <v>39</v>
      </c>
      <c r="C134">
        <v>42.9</v>
      </c>
      <c r="D134" t="s">
        <v>39</v>
      </c>
      <c r="E134">
        <v>42.9</v>
      </c>
      <c r="F134" t="s">
        <v>36</v>
      </c>
      <c r="G134">
        <v>78.8</v>
      </c>
    </row>
    <row r="135" spans="1:7" x14ac:dyDescent="0.3">
      <c r="A135" t="s">
        <v>294</v>
      </c>
      <c r="B135" t="s">
        <v>39</v>
      </c>
      <c r="C135">
        <v>66.8</v>
      </c>
      <c r="D135" t="s">
        <v>39</v>
      </c>
      <c r="E135">
        <v>66.8</v>
      </c>
      <c r="F135" t="s">
        <v>36</v>
      </c>
      <c r="G135">
        <v>50.4</v>
      </c>
    </row>
    <row r="136" spans="1:7" x14ac:dyDescent="0.3">
      <c r="A136" t="s">
        <v>296</v>
      </c>
      <c r="B136" t="s">
        <v>39</v>
      </c>
      <c r="C136">
        <v>57.2</v>
      </c>
      <c r="D136" t="s">
        <v>39</v>
      </c>
      <c r="E136">
        <v>57.2</v>
      </c>
      <c r="F136" t="s">
        <v>36</v>
      </c>
      <c r="G136">
        <v>60.6</v>
      </c>
    </row>
    <row r="137" spans="1:7" x14ac:dyDescent="0.3">
      <c r="A137" t="s">
        <v>297</v>
      </c>
      <c r="B137" t="s">
        <v>39</v>
      </c>
      <c r="C137">
        <v>51.1</v>
      </c>
      <c r="D137" t="s">
        <v>39</v>
      </c>
      <c r="E137">
        <v>51.1</v>
      </c>
      <c r="F137" t="s">
        <v>36</v>
      </c>
      <c r="G137">
        <v>59.1</v>
      </c>
    </row>
    <row r="138" spans="1:7" x14ac:dyDescent="0.3">
      <c r="A138" t="s">
        <v>298</v>
      </c>
      <c r="B138" t="s">
        <v>39</v>
      </c>
      <c r="C138">
        <v>65.400000000000006</v>
      </c>
      <c r="D138" t="s">
        <v>39</v>
      </c>
      <c r="E138">
        <v>65.400000000000006</v>
      </c>
      <c r="F138" t="s">
        <v>36</v>
      </c>
      <c r="G138">
        <v>77.5</v>
      </c>
    </row>
    <row r="139" spans="1:7" x14ac:dyDescent="0.3">
      <c r="A139" t="s">
        <v>299</v>
      </c>
      <c r="B139" t="s">
        <v>39</v>
      </c>
      <c r="C139">
        <v>81.8</v>
      </c>
      <c r="D139" t="s">
        <v>39</v>
      </c>
      <c r="E139">
        <v>81.8</v>
      </c>
      <c r="F139" t="s">
        <v>36</v>
      </c>
      <c r="G139">
        <v>63.8</v>
      </c>
    </row>
    <row r="140" spans="1:7" x14ac:dyDescent="0.3">
      <c r="A140" t="s">
        <v>300</v>
      </c>
      <c r="B140" t="s">
        <v>39</v>
      </c>
      <c r="C140">
        <v>77</v>
      </c>
      <c r="D140" t="s">
        <v>39</v>
      </c>
      <c r="E140">
        <v>77</v>
      </c>
      <c r="F140" t="s">
        <v>36</v>
      </c>
      <c r="G140">
        <v>53.1</v>
      </c>
    </row>
    <row r="141" spans="1:7" x14ac:dyDescent="0.3">
      <c r="A141" t="s">
        <v>301</v>
      </c>
      <c r="B141" t="s">
        <v>39</v>
      </c>
      <c r="C141">
        <v>69</v>
      </c>
      <c r="D141" t="s">
        <v>39</v>
      </c>
      <c r="E141">
        <v>69</v>
      </c>
      <c r="F141" t="s">
        <v>36</v>
      </c>
      <c r="G141">
        <v>57.7</v>
      </c>
    </row>
    <row r="142" spans="1:7" x14ac:dyDescent="0.3">
      <c r="A142" t="s">
        <v>302</v>
      </c>
      <c r="B142" t="s">
        <v>39</v>
      </c>
      <c r="C142">
        <v>58.2</v>
      </c>
      <c r="D142" t="s">
        <v>39</v>
      </c>
      <c r="E142">
        <v>58.2</v>
      </c>
      <c r="F142" t="s">
        <v>36</v>
      </c>
      <c r="G142">
        <v>63</v>
      </c>
    </row>
    <row r="143" spans="1:7" x14ac:dyDescent="0.3">
      <c r="A143" t="s">
        <v>306</v>
      </c>
      <c r="B143" t="s">
        <v>39</v>
      </c>
      <c r="C143">
        <v>58.2</v>
      </c>
      <c r="D143" t="s">
        <v>39</v>
      </c>
      <c r="E143">
        <v>58.2</v>
      </c>
      <c r="F143" t="s">
        <v>36</v>
      </c>
      <c r="G143">
        <v>75.900000000000006</v>
      </c>
    </row>
    <row r="144" spans="1:7" x14ac:dyDescent="0.3">
      <c r="A144" t="s">
        <v>307</v>
      </c>
      <c r="B144" t="s">
        <v>39</v>
      </c>
      <c r="C144">
        <v>93</v>
      </c>
      <c r="D144" t="s">
        <v>39</v>
      </c>
      <c r="E144">
        <v>93</v>
      </c>
      <c r="F144" t="s">
        <v>36</v>
      </c>
      <c r="G144">
        <v>71.099999999999994</v>
      </c>
    </row>
    <row r="145" spans="1:7" x14ac:dyDescent="0.3">
      <c r="A145" t="s">
        <v>311</v>
      </c>
      <c r="B145" t="s">
        <v>39</v>
      </c>
      <c r="C145">
        <v>52.2</v>
      </c>
      <c r="D145" t="s">
        <v>39</v>
      </c>
      <c r="E145">
        <v>52.2</v>
      </c>
      <c r="F145" t="s">
        <v>36</v>
      </c>
      <c r="G145">
        <v>72.5</v>
      </c>
    </row>
    <row r="146" spans="1:7" x14ac:dyDescent="0.3">
      <c r="A146" t="s">
        <v>312</v>
      </c>
      <c r="B146" t="s">
        <v>39</v>
      </c>
      <c r="C146">
        <v>51.7</v>
      </c>
      <c r="D146" t="s">
        <v>39</v>
      </c>
      <c r="E146">
        <v>51.7</v>
      </c>
      <c r="F146" t="s">
        <v>36</v>
      </c>
      <c r="G146">
        <v>83.3</v>
      </c>
    </row>
    <row r="147" spans="1:7" x14ac:dyDescent="0.3">
      <c r="A147" t="s">
        <v>317</v>
      </c>
      <c r="B147" t="s">
        <v>39</v>
      </c>
      <c r="C147">
        <v>52.4</v>
      </c>
      <c r="D147" t="s">
        <v>39</v>
      </c>
      <c r="E147">
        <v>52.4</v>
      </c>
      <c r="F147" t="s">
        <v>36</v>
      </c>
      <c r="G147">
        <v>78.5</v>
      </c>
    </row>
    <row r="148" spans="1:7" x14ac:dyDescent="0.3">
      <c r="A148" t="s">
        <v>320</v>
      </c>
      <c r="B148" t="s">
        <v>39</v>
      </c>
      <c r="C148">
        <v>87.3</v>
      </c>
      <c r="D148" t="s">
        <v>39</v>
      </c>
      <c r="E148">
        <v>87.3</v>
      </c>
      <c r="F148" t="s">
        <v>36</v>
      </c>
      <c r="G148">
        <v>72</v>
      </c>
    </row>
    <row r="149" spans="1:7" x14ac:dyDescent="0.3">
      <c r="A149" t="s">
        <v>324</v>
      </c>
      <c r="B149" t="s">
        <v>39</v>
      </c>
      <c r="C149">
        <v>74.2</v>
      </c>
      <c r="D149" t="s">
        <v>39</v>
      </c>
      <c r="E149">
        <v>74.2</v>
      </c>
      <c r="F149" t="s">
        <v>36</v>
      </c>
      <c r="G149">
        <v>72.8</v>
      </c>
    </row>
    <row r="150" spans="1:7" x14ac:dyDescent="0.3">
      <c r="A150" t="s">
        <v>325</v>
      </c>
      <c r="B150" t="s">
        <v>39</v>
      </c>
      <c r="C150">
        <v>71.5</v>
      </c>
      <c r="D150" t="s">
        <v>39</v>
      </c>
      <c r="E150">
        <v>71.5</v>
      </c>
      <c r="F150" t="s">
        <v>36</v>
      </c>
      <c r="G150">
        <v>86.1</v>
      </c>
    </row>
    <row r="151" spans="1:7" x14ac:dyDescent="0.3">
      <c r="A151" t="s">
        <v>327</v>
      </c>
      <c r="B151" t="s">
        <v>39</v>
      </c>
      <c r="C151">
        <v>68.099999999999994</v>
      </c>
      <c r="D151" t="s">
        <v>39</v>
      </c>
      <c r="E151">
        <v>68.099999999999994</v>
      </c>
      <c r="F151" t="s">
        <v>36</v>
      </c>
      <c r="G151">
        <v>69.599999999999994</v>
      </c>
    </row>
    <row r="152" spans="1:7" x14ac:dyDescent="0.3">
      <c r="A152" t="s">
        <v>328</v>
      </c>
      <c r="B152" t="s">
        <v>39</v>
      </c>
      <c r="C152">
        <v>78</v>
      </c>
      <c r="D152" t="s">
        <v>39</v>
      </c>
      <c r="E152">
        <v>78</v>
      </c>
      <c r="F152" t="s">
        <v>36</v>
      </c>
      <c r="G152">
        <v>86.3</v>
      </c>
    </row>
    <row r="153" spans="1:7" x14ac:dyDescent="0.3">
      <c r="A153" t="s">
        <v>329</v>
      </c>
      <c r="B153" t="s">
        <v>39</v>
      </c>
      <c r="C153">
        <v>63</v>
      </c>
      <c r="D153" t="s">
        <v>39</v>
      </c>
      <c r="E153">
        <v>63</v>
      </c>
      <c r="F153" t="s">
        <v>36</v>
      </c>
      <c r="G153">
        <v>41.5</v>
      </c>
    </row>
    <row r="154" spans="1:7" x14ac:dyDescent="0.3">
      <c r="A154" t="s">
        <v>333</v>
      </c>
      <c r="B154" t="s">
        <v>39</v>
      </c>
      <c r="C154">
        <v>62.9</v>
      </c>
      <c r="D154" t="s">
        <v>39</v>
      </c>
      <c r="E154">
        <v>62.9</v>
      </c>
      <c r="F154" t="s">
        <v>36</v>
      </c>
      <c r="G154">
        <v>74.900000000000006</v>
      </c>
    </row>
    <row r="155" spans="1:7" x14ac:dyDescent="0.3">
      <c r="A155" t="s">
        <v>338</v>
      </c>
      <c r="B155" t="s">
        <v>39</v>
      </c>
      <c r="C155">
        <v>47.9</v>
      </c>
      <c r="D155" t="s">
        <v>39</v>
      </c>
      <c r="E155">
        <v>47.9</v>
      </c>
      <c r="F155" t="s">
        <v>36</v>
      </c>
      <c r="G155">
        <v>81.7</v>
      </c>
    </row>
    <row r="156" spans="1:7" x14ac:dyDescent="0.3">
      <c r="A156" t="s">
        <v>340</v>
      </c>
      <c r="B156" t="s">
        <v>39</v>
      </c>
      <c r="C156">
        <v>76.8</v>
      </c>
      <c r="D156" t="s">
        <v>39</v>
      </c>
      <c r="E156">
        <v>76.8</v>
      </c>
      <c r="F156" t="s">
        <v>36</v>
      </c>
      <c r="G156">
        <v>65</v>
      </c>
    </row>
    <row r="157" spans="1:7" x14ac:dyDescent="0.3">
      <c r="A157" t="s">
        <v>341</v>
      </c>
      <c r="B157" t="s">
        <v>39</v>
      </c>
      <c r="C157">
        <v>76.5</v>
      </c>
      <c r="D157" t="s">
        <v>39</v>
      </c>
      <c r="E157">
        <v>76.5</v>
      </c>
      <c r="F157" t="s">
        <v>36</v>
      </c>
      <c r="G157">
        <v>63.4</v>
      </c>
    </row>
    <row r="158" spans="1:7" x14ac:dyDescent="0.3">
      <c r="A158" t="s">
        <v>342</v>
      </c>
      <c r="B158" t="s">
        <v>39</v>
      </c>
      <c r="C158">
        <v>74.400000000000006</v>
      </c>
      <c r="D158" t="s">
        <v>39</v>
      </c>
      <c r="E158">
        <v>74.400000000000006</v>
      </c>
      <c r="F158" t="s">
        <v>36</v>
      </c>
      <c r="G158">
        <v>91.3</v>
      </c>
    </row>
    <row r="159" spans="1:7" x14ac:dyDescent="0.3">
      <c r="A159" t="s">
        <v>343</v>
      </c>
      <c r="B159" t="s">
        <v>39</v>
      </c>
      <c r="C159">
        <v>36.799999999999997</v>
      </c>
      <c r="D159" t="s">
        <v>39</v>
      </c>
      <c r="E159">
        <v>36.799999999999997</v>
      </c>
      <c r="F159" t="s">
        <v>36</v>
      </c>
      <c r="G159">
        <v>64.400000000000006</v>
      </c>
    </row>
    <row r="160" spans="1:7" x14ac:dyDescent="0.3">
      <c r="A160" t="s">
        <v>344</v>
      </c>
      <c r="B160" t="s">
        <v>39</v>
      </c>
      <c r="C160">
        <v>88.2</v>
      </c>
      <c r="D160" t="s">
        <v>39</v>
      </c>
      <c r="E160">
        <v>88.2</v>
      </c>
      <c r="F160" t="s">
        <v>36</v>
      </c>
      <c r="G160">
        <v>70.400000000000006</v>
      </c>
    </row>
    <row r="161" spans="1:7" x14ac:dyDescent="0.3">
      <c r="A161" t="s">
        <v>345</v>
      </c>
      <c r="B161" t="s">
        <v>39</v>
      </c>
      <c r="C161">
        <v>68.5</v>
      </c>
      <c r="D161" t="s">
        <v>39</v>
      </c>
      <c r="E161">
        <v>68.5</v>
      </c>
      <c r="F161" t="s">
        <v>36</v>
      </c>
      <c r="G161">
        <v>56.2</v>
      </c>
    </row>
    <row r="162" spans="1:7" x14ac:dyDescent="0.3">
      <c r="A162" t="s">
        <v>347</v>
      </c>
      <c r="B162" t="s">
        <v>39</v>
      </c>
      <c r="C162">
        <v>75.5</v>
      </c>
      <c r="D162" t="s">
        <v>39</v>
      </c>
      <c r="E162">
        <v>75.5</v>
      </c>
      <c r="F162" t="s">
        <v>36</v>
      </c>
      <c r="G162">
        <v>83.4</v>
      </c>
    </row>
    <row r="163" spans="1:7" x14ac:dyDescent="0.3">
      <c r="A163" t="s">
        <v>348</v>
      </c>
      <c r="B163" t="s">
        <v>39</v>
      </c>
      <c r="C163">
        <v>74.3</v>
      </c>
      <c r="D163" t="s">
        <v>39</v>
      </c>
      <c r="E163">
        <v>74.3</v>
      </c>
      <c r="F163" t="s">
        <v>36</v>
      </c>
      <c r="G163">
        <v>67.8</v>
      </c>
    </row>
    <row r="164" spans="1:7" x14ac:dyDescent="0.3">
      <c r="A164" t="s">
        <v>349</v>
      </c>
      <c r="B164" t="s">
        <v>39</v>
      </c>
      <c r="C164">
        <v>68.400000000000006</v>
      </c>
      <c r="D164" t="s">
        <v>39</v>
      </c>
      <c r="E164">
        <v>68.400000000000006</v>
      </c>
      <c r="F164" t="s">
        <v>36</v>
      </c>
      <c r="G164">
        <v>60.6</v>
      </c>
    </row>
    <row r="165" spans="1:7" x14ac:dyDescent="0.3">
      <c r="A165" t="s">
        <v>366</v>
      </c>
      <c r="B165" t="s">
        <v>39</v>
      </c>
      <c r="C165">
        <v>71.400000000000006</v>
      </c>
      <c r="D165" t="s">
        <v>39</v>
      </c>
      <c r="E165">
        <v>71.400000000000006</v>
      </c>
      <c r="F165" t="s">
        <v>36</v>
      </c>
      <c r="G165">
        <v>68.099999999999994</v>
      </c>
    </row>
    <row r="166" spans="1:7" x14ac:dyDescent="0.3">
      <c r="A166" t="s">
        <v>367</v>
      </c>
      <c r="B166" t="s">
        <v>39</v>
      </c>
      <c r="C166">
        <v>61.4</v>
      </c>
      <c r="D166" t="s">
        <v>39</v>
      </c>
      <c r="E166">
        <v>61.4</v>
      </c>
      <c r="F166" t="s">
        <v>36</v>
      </c>
      <c r="G166">
        <v>83.8</v>
      </c>
    </row>
    <row r="167" spans="1:7" x14ac:dyDescent="0.3">
      <c r="A167" t="s">
        <v>369</v>
      </c>
      <c r="B167" t="s">
        <v>39</v>
      </c>
      <c r="C167">
        <v>75.3</v>
      </c>
      <c r="D167" t="s">
        <v>39</v>
      </c>
      <c r="E167">
        <v>75.3</v>
      </c>
      <c r="F167" t="s">
        <v>36</v>
      </c>
      <c r="G167">
        <v>100</v>
      </c>
    </row>
    <row r="168" spans="1:7" x14ac:dyDescent="0.3">
      <c r="A168" t="s">
        <v>372</v>
      </c>
      <c r="B168" t="s">
        <v>39</v>
      </c>
      <c r="C168">
        <v>52.4</v>
      </c>
      <c r="D168" t="s">
        <v>39</v>
      </c>
      <c r="E168">
        <v>52.4</v>
      </c>
      <c r="F168" t="s">
        <v>36</v>
      </c>
      <c r="G168">
        <v>53.7</v>
      </c>
    </row>
    <row r="169" spans="1:7" x14ac:dyDescent="0.3">
      <c r="A169" t="s">
        <v>373</v>
      </c>
      <c r="B169" t="s">
        <v>39</v>
      </c>
      <c r="C169">
        <v>72.8</v>
      </c>
      <c r="D169" t="s">
        <v>39</v>
      </c>
      <c r="E169">
        <v>72.8</v>
      </c>
      <c r="F169" t="s">
        <v>36</v>
      </c>
      <c r="G169">
        <v>72.099999999999994</v>
      </c>
    </row>
    <row r="170" spans="1:7" x14ac:dyDescent="0.3">
      <c r="A170" t="s">
        <v>374</v>
      </c>
      <c r="B170" t="s">
        <v>39</v>
      </c>
      <c r="C170">
        <v>75.5</v>
      </c>
      <c r="D170" t="s">
        <v>39</v>
      </c>
      <c r="E170">
        <v>75.5</v>
      </c>
      <c r="F170" t="s">
        <v>36</v>
      </c>
      <c r="G170">
        <v>100</v>
      </c>
    </row>
    <row r="171" spans="1:7" x14ac:dyDescent="0.3">
      <c r="A171" t="s">
        <v>375</v>
      </c>
      <c r="B171" t="s">
        <v>39</v>
      </c>
      <c r="C171">
        <v>63.2</v>
      </c>
      <c r="D171" t="s">
        <v>39</v>
      </c>
      <c r="E171">
        <v>63.2</v>
      </c>
      <c r="F171" t="s">
        <v>36</v>
      </c>
      <c r="G171">
        <v>65.599999999999994</v>
      </c>
    </row>
    <row r="172" spans="1:7" x14ac:dyDescent="0.3">
      <c r="A172" t="s">
        <v>376</v>
      </c>
      <c r="B172" t="s">
        <v>39</v>
      </c>
      <c r="C172">
        <v>78.2</v>
      </c>
      <c r="D172" t="s">
        <v>39</v>
      </c>
      <c r="E172">
        <v>78.2</v>
      </c>
      <c r="F172" t="s">
        <v>36</v>
      </c>
      <c r="G172">
        <v>70.900000000000006</v>
      </c>
    </row>
    <row r="173" spans="1:7" x14ac:dyDescent="0.3">
      <c r="A173" t="s">
        <v>378</v>
      </c>
      <c r="B173" t="s">
        <v>39</v>
      </c>
      <c r="C173">
        <v>51.6</v>
      </c>
      <c r="D173" t="s">
        <v>39</v>
      </c>
      <c r="E173">
        <v>51.6</v>
      </c>
      <c r="F173" t="s">
        <v>36</v>
      </c>
      <c r="G173">
        <v>92.3</v>
      </c>
    </row>
    <row r="174" spans="1:7" x14ac:dyDescent="0.3">
      <c r="A174" t="s">
        <v>380</v>
      </c>
      <c r="B174" t="s">
        <v>39</v>
      </c>
      <c r="C174">
        <v>53.4</v>
      </c>
      <c r="D174" t="s">
        <v>39</v>
      </c>
      <c r="E174">
        <v>53.4</v>
      </c>
      <c r="F174" t="s">
        <v>36</v>
      </c>
      <c r="G174">
        <v>84.4</v>
      </c>
    </row>
    <row r="175" spans="1:7" x14ac:dyDescent="0.3">
      <c r="A175" t="s">
        <v>382</v>
      </c>
      <c r="B175" t="s">
        <v>39</v>
      </c>
      <c r="C175">
        <v>72.2</v>
      </c>
      <c r="D175" t="s">
        <v>39</v>
      </c>
      <c r="E175">
        <v>72.2</v>
      </c>
      <c r="F175" t="s">
        <v>36</v>
      </c>
      <c r="G175">
        <v>82.9</v>
      </c>
    </row>
    <row r="176" spans="1:7" x14ac:dyDescent="0.3">
      <c r="A176" t="s">
        <v>386</v>
      </c>
      <c r="B176" t="s">
        <v>39</v>
      </c>
      <c r="C176">
        <v>78.400000000000006</v>
      </c>
      <c r="D176" t="s">
        <v>39</v>
      </c>
      <c r="E176">
        <v>78.400000000000006</v>
      </c>
      <c r="F176" t="s">
        <v>36</v>
      </c>
      <c r="G176">
        <v>68.400000000000006</v>
      </c>
    </row>
    <row r="177" spans="1:7" x14ac:dyDescent="0.3">
      <c r="A177" t="s">
        <v>388</v>
      </c>
      <c r="B177" t="s">
        <v>39</v>
      </c>
      <c r="C177">
        <v>81.099999999999994</v>
      </c>
      <c r="D177" t="s">
        <v>39</v>
      </c>
      <c r="E177">
        <v>81.099999999999994</v>
      </c>
      <c r="F177" t="s">
        <v>36</v>
      </c>
      <c r="G177">
        <v>83.1</v>
      </c>
    </row>
    <row r="178" spans="1:7" x14ac:dyDescent="0.3">
      <c r="A178" t="s">
        <v>390</v>
      </c>
      <c r="B178" t="s">
        <v>39</v>
      </c>
      <c r="C178">
        <v>70.3</v>
      </c>
      <c r="D178" t="s">
        <v>39</v>
      </c>
      <c r="E178">
        <v>70.3</v>
      </c>
      <c r="F178" t="s">
        <v>36</v>
      </c>
      <c r="G178">
        <v>61.5</v>
      </c>
    </row>
    <row r="179" spans="1:7" x14ac:dyDescent="0.3">
      <c r="A179" t="s">
        <v>393</v>
      </c>
      <c r="B179" t="s">
        <v>39</v>
      </c>
      <c r="C179">
        <v>84.5</v>
      </c>
      <c r="D179" t="s">
        <v>39</v>
      </c>
      <c r="E179">
        <v>84.5</v>
      </c>
      <c r="F179" t="s">
        <v>36</v>
      </c>
      <c r="G179">
        <v>71.900000000000006</v>
      </c>
    </row>
    <row r="180" spans="1:7" x14ac:dyDescent="0.3">
      <c r="A180" t="s">
        <v>398</v>
      </c>
      <c r="B180" t="s">
        <v>39</v>
      </c>
      <c r="C180">
        <v>80.2</v>
      </c>
      <c r="D180" t="s">
        <v>39</v>
      </c>
      <c r="E180">
        <v>80.2</v>
      </c>
      <c r="F180" t="s">
        <v>36</v>
      </c>
      <c r="G180">
        <v>48.9</v>
      </c>
    </row>
    <row r="181" spans="1:7" x14ac:dyDescent="0.3">
      <c r="A181" t="s">
        <v>399</v>
      </c>
      <c r="B181" t="s">
        <v>39</v>
      </c>
      <c r="C181">
        <v>63.5</v>
      </c>
      <c r="D181" t="s">
        <v>39</v>
      </c>
      <c r="E181">
        <v>63.5</v>
      </c>
      <c r="F181" t="s">
        <v>36</v>
      </c>
      <c r="G181">
        <v>67.5</v>
      </c>
    </row>
    <row r="182" spans="1:7" x14ac:dyDescent="0.3">
      <c r="A182" t="s">
        <v>400</v>
      </c>
      <c r="B182" t="s">
        <v>39</v>
      </c>
      <c r="C182">
        <v>58.9</v>
      </c>
      <c r="D182" t="s">
        <v>39</v>
      </c>
      <c r="E182">
        <v>58.9</v>
      </c>
      <c r="F182" t="s">
        <v>36</v>
      </c>
      <c r="G182">
        <v>83</v>
      </c>
    </row>
    <row r="183" spans="1:7" x14ac:dyDescent="0.3">
      <c r="A183" t="s">
        <v>401</v>
      </c>
      <c r="B183" t="s">
        <v>39</v>
      </c>
      <c r="C183">
        <v>71.3</v>
      </c>
      <c r="D183" t="s">
        <v>39</v>
      </c>
      <c r="E183">
        <v>71.3</v>
      </c>
      <c r="F183" t="s">
        <v>36</v>
      </c>
      <c r="G183">
        <v>50.8</v>
      </c>
    </row>
    <row r="184" spans="1:7" x14ac:dyDescent="0.3">
      <c r="A184" t="s">
        <v>403</v>
      </c>
      <c r="B184" t="s">
        <v>39</v>
      </c>
      <c r="C184">
        <v>93.9</v>
      </c>
      <c r="D184" t="s">
        <v>39</v>
      </c>
      <c r="E184">
        <v>93.9</v>
      </c>
      <c r="F184" t="s">
        <v>36</v>
      </c>
      <c r="G184">
        <v>73.8</v>
      </c>
    </row>
    <row r="185" spans="1:7" x14ac:dyDescent="0.3">
      <c r="A185" t="s">
        <v>404</v>
      </c>
      <c r="B185" t="s">
        <v>39</v>
      </c>
      <c r="C185">
        <v>62.2</v>
      </c>
      <c r="D185" t="s">
        <v>39</v>
      </c>
      <c r="E185">
        <v>62.2</v>
      </c>
      <c r="F185" t="s">
        <v>36</v>
      </c>
      <c r="G185">
        <v>68.8</v>
      </c>
    </row>
    <row r="186" spans="1:7" x14ac:dyDescent="0.3">
      <c r="A186" t="s">
        <v>405</v>
      </c>
      <c r="B186" t="s">
        <v>39</v>
      </c>
      <c r="C186">
        <v>66.599999999999994</v>
      </c>
      <c r="D186" t="s">
        <v>39</v>
      </c>
      <c r="E186">
        <v>66.599999999999994</v>
      </c>
      <c r="F186" t="s">
        <v>36</v>
      </c>
      <c r="G186">
        <v>64.2</v>
      </c>
    </row>
    <row r="187" spans="1:7" x14ac:dyDescent="0.3">
      <c r="A187" t="s">
        <v>406</v>
      </c>
      <c r="B187" t="s">
        <v>39</v>
      </c>
      <c r="C187">
        <v>63.2</v>
      </c>
      <c r="D187" t="s">
        <v>39</v>
      </c>
      <c r="E187">
        <v>63.2</v>
      </c>
      <c r="F187" t="s">
        <v>36</v>
      </c>
      <c r="G187">
        <v>61.4</v>
      </c>
    </row>
    <row r="188" spans="1:7" x14ac:dyDescent="0.3">
      <c r="A188" t="s">
        <v>410</v>
      </c>
      <c r="B188" t="s">
        <v>39</v>
      </c>
      <c r="C188">
        <v>70.7</v>
      </c>
      <c r="D188" t="s">
        <v>39</v>
      </c>
      <c r="E188">
        <v>70.7</v>
      </c>
      <c r="F188" t="s">
        <v>36</v>
      </c>
      <c r="G188">
        <v>62.8</v>
      </c>
    </row>
    <row r="189" spans="1:7" x14ac:dyDescent="0.3">
      <c r="A189" t="s">
        <v>412</v>
      </c>
      <c r="B189" t="s">
        <v>39</v>
      </c>
      <c r="C189">
        <v>60.1</v>
      </c>
      <c r="D189" t="s">
        <v>39</v>
      </c>
      <c r="E189">
        <v>60.1</v>
      </c>
      <c r="F189" t="s">
        <v>36</v>
      </c>
      <c r="G189">
        <v>54.6</v>
      </c>
    </row>
    <row r="190" spans="1:7" x14ac:dyDescent="0.3">
      <c r="A190" t="s">
        <v>414</v>
      </c>
      <c r="B190" t="s">
        <v>39</v>
      </c>
      <c r="C190">
        <v>72.599999999999994</v>
      </c>
      <c r="D190" t="s">
        <v>39</v>
      </c>
      <c r="E190">
        <v>72.599999999999994</v>
      </c>
      <c r="F190" t="s">
        <v>36</v>
      </c>
      <c r="G190">
        <v>84.9</v>
      </c>
    </row>
    <row r="191" spans="1:7" x14ac:dyDescent="0.3">
      <c r="A191" t="s">
        <v>419</v>
      </c>
      <c r="B191" t="s">
        <v>39</v>
      </c>
      <c r="C191">
        <v>84.6</v>
      </c>
      <c r="D191" t="s">
        <v>39</v>
      </c>
      <c r="E191">
        <v>84.6</v>
      </c>
      <c r="F191" t="s">
        <v>36</v>
      </c>
      <c r="G191">
        <v>48.8</v>
      </c>
    </row>
    <row r="192" spans="1:7" x14ac:dyDescent="0.3">
      <c r="A192" t="s">
        <v>420</v>
      </c>
      <c r="B192" t="s">
        <v>39</v>
      </c>
      <c r="C192">
        <v>50.4</v>
      </c>
      <c r="D192" t="s">
        <v>39</v>
      </c>
      <c r="E192">
        <v>50.4</v>
      </c>
      <c r="F192" t="s">
        <v>36</v>
      </c>
      <c r="G192">
        <v>69.599999999999994</v>
      </c>
    </row>
    <row r="193" spans="1:7" x14ac:dyDescent="0.3">
      <c r="A193" t="s">
        <v>421</v>
      </c>
      <c r="B193" t="s">
        <v>39</v>
      </c>
      <c r="C193">
        <v>48.2</v>
      </c>
      <c r="D193" t="s">
        <v>39</v>
      </c>
      <c r="E193">
        <v>48.2</v>
      </c>
      <c r="F193" t="s">
        <v>36</v>
      </c>
      <c r="G193">
        <v>46.7</v>
      </c>
    </row>
    <row r="194" spans="1:7" x14ac:dyDescent="0.3">
      <c r="A194" t="s">
        <v>423</v>
      </c>
      <c r="B194" t="s">
        <v>39</v>
      </c>
      <c r="C194">
        <v>72.7</v>
      </c>
      <c r="D194" t="s">
        <v>39</v>
      </c>
      <c r="E194">
        <v>72.7</v>
      </c>
      <c r="F194" t="s">
        <v>36</v>
      </c>
      <c r="G194">
        <v>74</v>
      </c>
    </row>
    <row r="195" spans="1:7" x14ac:dyDescent="0.3">
      <c r="A195" t="s">
        <v>425</v>
      </c>
      <c r="B195" t="s">
        <v>39</v>
      </c>
      <c r="C195">
        <v>80.400000000000006</v>
      </c>
      <c r="D195" t="s">
        <v>39</v>
      </c>
      <c r="E195">
        <v>80.400000000000006</v>
      </c>
      <c r="F195" t="s">
        <v>36</v>
      </c>
      <c r="G195">
        <v>64.099999999999994</v>
      </c>
    </row>
    <row r="196" spans="1:7" x14ac:dyDescent="0.3">
      <c r="A196" t="s">
        <v>428</v>
      </c>
      <c r="B196" t="s">
        <v>39</v>
      </c>
      <c r="C196">
        <v>51.2</v>
      </c>
      <c r="D196" t="s">
        <v>39</v>
      </c>
      <c r="E196">
        <v>51.2</v>
      </c>
      <c r="F196" t="s">
        <v>36</v>
      </c>
      <c r="G196">
        <v>83.9</v>
      </c>
    </row>
    <row r="197" spans="1:7" x14ac:dyDescent="0.3">
      <c r="A197" t="s">
        <v>430</v>
      </c>
      <c r="B197" t="s">
        <v>39</v>
      </c>
      <c r="C197">
        <v>73.599999999999994</v>
      </c>
      <c r="D197" t="s">
        <v>39</v>
      </c>
      <c r="E197">
        <v>73.599999999999994</v>
      </c>
      <c r="F197" t="s">
        <v>36</v>
      </c>
      <c r="G197">
        <v>73.5</v>
      </c>
    </row>
    <row r="198" spans="1:7" x14ac:dyDescent="0.3">
      <c r="A198" t="s">
        <v>431</v>
      </c>
      <c r="B198" t="s">
        <v>39</v>
      </c>
      <c r="C198">
        <v>52.9</v>
      </c>
      <c r="D198" t="s">
        <v>39</v>
      </c>
      <c r="E198">
        <v>52.9</v>
      </c>
      <c r="F198" t="s">
        <v>36</v>
      </c>
      <c r="G198">
        <v>72.5</v>
      </c>
    </row>
    <row r="199" spans="1:7" x14ac:dyDescent="0.3">
      <c r="A199" t="s">
        <v>432</v>
      </c>
      <c r="B199" t="s">
        <v>39</v>
      </c>
      <c r="C199">
        <v>65.8</v>
      </c>
      <c r="D199" t="s">
        <v>39</v>
      </c>
      <c r="E199">
        <v>65.8</v>
      </c>
      <c r="F199" t="s">
        <v>36</v>
      </c>
      <c r="G199">
        <v>81.7</v>
      </c>
    </row>
    <row r="200" spans="1:7" x14ac:dyDescent="0.3">
      <c r="A200" t="s">
        <v>433</v>
      </c>
      <c r="B200" t="s">
        <v>39</v>
      </c>
      <c r="C200">
        <v>74.8</v>
      </c>
      <c r="D200" t="s">
        <v>39</v>
      </c>
      <c r="E200">
        <v>74.8</v>
      </c>
      <c r="F200" t="s">
        <v>36</v>
      </c>
      <c r="G200">
        <v>70</v>
      </c>
    </row>
    <row r="201" spans="1:7" x14ac:dyDescent="0.3">
      <c r="A201" t="s">
        <v>436</v>
      </c>
      <c r="B201" t="s">
        <v>39</v>
      </c>
      <c r="C201">
        <v>64.5</v>
      </c>
      <c r="D201" t="s">
        <v>39</v>
      </c>
      <c r="E201">
        <v>64.5</v>
      </c>
      <c r="F201" t="s">
        <v>36</v>
      </c>
      <c r="G201">
        <v>80.099999999999994</v>
      </c>
    </row>
    <row r="202" spans="1:7" x14ac:dyDescent="0.3">
      <c r="A202" t="s">
        <v>35</v>
      </c>
      <c r="B202" t="s">
        <v>36</v>
      </c>
      <c r="C202">
        <v>69.7</v>
      </c>
    </row>
    <row r="203" spans="1:7" x14ac:dyDescent="0.3">
      <c r="A203" t="s">
        <v>37</v>
      </c>
      <c r="B203" t="s">
        <v>36</v>
      </c>
      <c r="C203">
        <v>88.5</v>
      </c>
    </row>
    <row r="204" spans="1:7" x14ac:dyDescent="0.3">
      <c r="A204" t="s">
        <v>40</v>
      </c>
      <c r="B204" t="s">
        <v>36</v>
      </c>
      <c r="C204">
        <v>65.2</v>
      </c>
    </row>
    <row r="205" spans="1:7" x14ac:dyDescent="0.3">
      <c r="A205" t="s">
        <v>43</v>
      </c>
      <c r="B205" t="s">
        <v>36</v>
      </c>
      <c r="C205">
        <v>78.900000000000006</v>
      </c>
    </row>
    <row r="206" spans="1:7" x14ac:dyDescent="0.3">
      <c r="A206" t="s">
        <v>45</v>
      </c>
      <c r="B206" t="s">
        <v>36</v>
      </c>
      <c r="C206">
        <v>75.3</v>
      </c>
    </row>
    <row r="207" spans="1:7" x14ac:dyDescent="0.3">
      <c r="A207" t="s">
        <v>48</v>
      </c>
      <c r="B207" t="s">
        <v>36</v>
      </c>
      <c r="C207">
        <v>73.7</v>
      </c>
    </row>
    <row r="208" spans="1:7" x14ac:dyDescent="0.3">
      <c r="A208" t="s">
        <v>53</v>
      </c>
      <c r="B208" t="s">
        <v>36</v>
      </c>
      <c r="C208">
        <v>71.8</v>
      </c>
    </row>
    <row r="209" spans="1:3" x14ac:dyDescent="0.3">
      <c r="A209" t="s">
        <v>54</v>
      </c>
      <c r="B209" t="s">
        <v>36</v>
      </c>
      <c r="C209">
        <v>68.3</v>
      </c>
    </row>
    <row r="210" spans="1:3" x14ac:dyDescent="0.3">
      <c r="A210" t="s">
        <v>55</v>
      </c>
      <c r="B210" t="s">
        <v>36</v>
      </c>
      <c r="C210">
        <v>61.2</v>
      </c>
    </row>
    <row r="211" spans="1:3" x14ac:dyDescent="0.3">
      <c r="A211" t="s">
        <v>56</v>
      </c>
      <c r="B211" t="s">
        <v>36</v>
      </c>
      <c r="C211">
        <v>75.3</v>
      </c>
    </row>
    <row r="212" spans="1:3" x14ac:dyDescent="0.3">
      <c r="A212" t="s">
        <v>59</v>
      </c>
      <c r="B212" t="s">
        <v>36</v>
      </c>
      <c r="C212">
        <v>62.2</v>
      </c>
    </row>
    <row r="213" spans="1:3" x14ac:dyDescent="0.3">
      <c r="A213" t="s">
        <v>60</v>
      </c>
      <c r="B213" t="s">
        <v>36</v>
      </c>
      <c r="C213">
        <v>63.2</v>
      </c>
    </row>
    <row r="214" spans="1:3" x14ac:dyDescent="0.3">
      <c r="A214" t="s">
        <v>62</v>
      </c>
      <c r="B214" t="s">
        <v>36</v>
      </c>
      <c r="C214">
        <v>69.5</v>
      </c>
    </row>
    <row r="215" spans="1:3" x14ac:dyDescent="0.3">
      <c r="A215" t="s">
        <v>64</v>
      </c>
      <c r="B215" t="s">
        <v>36</v>
      </c>
      <c r="C215">
        <v>77</v>
      </c>
    </row>
    <row r="216" spans="1:3" x14ac:dyDescent="0.3">
      <c r="A216" t="s">
        <v>65</v>
      </c>
      <c r="B216" t="s">
        <v>36</v>
      </c>
      <c r="C216">
        <v>73.099999999999994</v>
      </c>
    </row>
    <row r="217" spans="1:3" x14ac:dyDescent="0.3">
      <c r="A217" t="s">
        <v>67</v>
      </c>
      <c r="B217" t="s">
        <v>36</v>
      </c>
      <c r="C217">
        <v>59.1</v>
      </c>
    </row>
    <row r="218" spans="1:3" x14ac:dyDescent="0.3">
      <c r="A218" t="s">
        <v>69</v>
      </c>
      <c r="B218" t="s">
        <v>36</v>
      </c>
      <c r="C218">
        <v>82</v>
      </c>
    </row>
    <row r="219" spans="1:3" x14ac:dyDescent="0.3">
      <c r="A219" t="s">
        <v>71</v>
      </c>
      <c r="B219" t="s">
        <v>36</v>
      </c>
      <c r="C219">
        <v>74.099999999999994</v>
      </c>
    </row>
    <row r="220" spans="1:3" x14ac:dyDescent="0.3">
      <c r="A220" t="s">
        <v>74</v>
      </c>
      <c r="B220" t="s">
        <v>36</v>
      </c>
      <c r="C220">
        <v>89.5</v>
      </c>
    </row>
    <row r="221" spans="1:3" x14ac:dyDescent="0.3">
      <c r="A221" t="s">
        <v>77</v>
      </c>
      <c r="B221" t="s">
        <v>36</v>
      </c>
      <c r="C221">
        <v>97.6</v>
      </c>
    </row>
    <row r="222" spans="1:3" x14ac:dyDescent="0.3">
      <c r="A222" t="s">
        <v>82</v>
      </c>
      <c r="B222" t="s">
        <v>36</v>
      </c>
      <c r="C222">
        <v>64.5</v>
      </c>
    </row>
    <row r="223" spans="1:3" x14ac:dyDescent="0.3">
      <c r="A223" t="s">
        <v>88</v>
      </c>
      <c r="B223" t="s">
        <v>36</v>
      </c>
      <c r="C223">
        <v>81.099999999999994</v>
      </c>
    </row>
    <row r="224" spans="1:3" x14ac:dyDescent="0.3">
      <c r="A224" t="s">
        <v>89</v>
      </c>
      <c r="B224" t="s">
        <v>36</v>
      </c>
      <c r="C224">
        <v>70.099999999999994</v>
      </c>
    </row>
    <row r="225" spans="1:3" x14ac:dyDescent="0.3">
      <c r="A225" t="s">
        <v>91</v>
      </c>
      <c r="B225" t="s">
        <v>36</v>
      </c>
      <c r="C225">
        <v>55.3</v>
      </c>
    </row>
    <row r="226" spans="1:3" x14ac:dyDescent="0.3">
      <c r="A226" t="s">
        <v>93</v>
      </c>
      <c r="B226" t="s">
        <v>36</v>
      </c>
      <c r="C226">
        <v>57.8</v>
      </c>
    </row>
    <row r="227" spans="1:3" x14ac:dyDescent="0.3">
      <c r="A227" t="s">
        <v>98</v>
      </c>
      <c r="B227" t="s">
        <v>36</v>
      </c>
      <c r="C227">
        <v>61</v>
      </c>
    </row>
    <row r="228" spans="1:3" x14ac:dyDescent="0.3">
      <c r="A228" t="s">
        <v>99</v>
      </c>
      <c r="B228" t="s">
        <v>36</v>
      </c>
      <c r="C228">
        <v>78.099999999999994</v>
      </c>
    </row>
    <row r="229" spans="1:3" x14ac:dyDescent="0.3">
      <c r="A229" t="s">
        <v>103</v>
      </c>
      <c r="B229" t="s">
        <v>36</v>
      </c>
      <c r="C229">
        <v>80.900000000000006</v>
      </c>
    </row>
    <row r="230" spans="1:3" x14ac:dyDescent="0.3">
      <c r="A230" t="s">
        <v>104</v>
      </c>
      <c r="B230" t="s">
        <v>36</v>
      </c>
      <c r="C230">
        <v>64.2</v>
      </c>
    </row>
    <row r="231" spans="1:3" x14ac:dyDescent="0.3">
      <c r="A231" t="s">
        <v>105</v>
      </c>
      <c r="B231" t="s">
        <v>36</v>
      </c>
      <c r="C231">
        <v>96.4</v>
      </c>
    </row>
    <row r="232" spans="1:3" x14ac:dyDescent="0.3">
      <c r="A232" t="s">
        <v>107</v>
      </c>
      <c r="B232" t="s">
        <v>36</v>
      </c>
      <c r="C232">
        <v>78.5</v>
      </c>
    </row>
    <row r="233" spans="1:3" x14ac:dyDescent="0.3">
      <c r="A233" t="s">
        <v>111</v>
      </c>
      <c r="B233" t="s">
        <v>36</v>
      </c>
      <c r="C233">
        <v>78.5</v>
      </c>
    </row>
    <row r="234" spans="1:3" x14ac:dyDescent="0.3">
      <c r="A234" t="s">
        <v>112</v>
      </c>
      <c r="B234" t="s">
        <v>36</v>
      </c>
      <c r="C234">
        <v>74.400000000000006</v>
      </c>
    </row>
    <row r="235" spans="1:3" x14ac:dyDescent="0.3">
      <c r="A235" t="s">
        <v>113</v>
      </c>
      <c r="B235" t="s">
        <v>36</v>
      </c>
      <c r="C235">
        <v>71.400000000000006</v>
      </c>
    </row>
    <row r="236" spans="1:3" x14ac:dyDescent="0.3">
      <c r="A236" t="s">
        <v>114</v>
      </c>
      <c r="B236" t="s">
        <v>36</v>
      </c>
      <c r="C236">
        <v>78.400000000000006</v>
      </c>
    </row>
    <row r="237" spans="1:3" x14ac:dyDescent="0.3">
      <c r="A237" t="s">
        <v>116</v>
      </c>
      <c r="B237" t="s">
        <v>36</v>
      </c>
      <c r="C237">
        <v>78.400000000000006</v>
      </c>
    </row>
    <row r="238" spans="1:3" x14ac:dyDescent="0.3">
      <c r="A238" t="s">
        <v>119</v>
      </c>
      <c r="B238" t="s">
        <v>36</v>
      </c>
      <c r="C238">
        <v>62.6</v>
      </c>
    </row>
    <row r="239" spans="1:3" x14ac:dyDescent="0.3">
      <c r="A239" t="s">
        <v>120</v>
      </c>
      <c r="B239" t="s">
        <v>36</v>
      </c>
      <c r="C239">
        <v>80.5</v>
      </c>
    </row>
    <row r="240" spans="1:3" x14ac:dyDescent="0.3">
      <c r="A240" t="s">
        <v>121</v>
      </c>
      <c r="B240" t="s">
        <v>36</v>
      </c>
      <c r="C240">
        <v>72.400000000000006</v>
      </c>
    </row>
    <row r="241" spans="1:3" x14ac:dyDescent="0.3">
      <c r="A241" t="s">
        <v>123</v>
      </c>
      <c r="B241" t="s">
        <v>36</v>
      </c>
      <c r="C241">
        <v>73.7</v>
      </c>
    </row>
    <row r="242" spans="1:3" x14ac:dyDescent="0.3">
      <c r="A242" t="s">
        <v>124</v>
      </c>
      <c r="B242" t="s">
        <v>36</v>
      </c>
      <c r="C242">
        <v>89.7</v>
      </c>
    </row>
    <row r="243" spans="1:3" x14ac:dyDescent="0.3">
      <c r="A243" t="s">
        <v>127</v>
      </c>
      <c r="B243" t="s">
        <v>36</v>
      </c>
      <c r="C243">
        <v>55.4</v>
      </c>
    </row>
    <row r="244" spans="1:3" x14ac:dyDescent="0.3">
      <c r="A244" t="s">
        <v>128</v>
      </c>
      <c r="B244" t="s">
        <v>36</v>
      </c>
      <c r="C244">
        <v>61.1</v>
      </c>
    </row>
    <row r="245" spans="1:3" x14ac:dyDescent="0.3">
      <c r="A245" t="s">
        <v>130</v>
      </c>
      <c r="B245" t="s">
        <v>36</v>
      </c>
      <c r="C245">
        <v>48.6</v>
      </c>
    </row>
    <row r="246" spans="1:3" x14ac:dyDescent="0.3">
      <c r="A246" t="s">
        <v>132</v>
      </c>
      <c r="B246" t="s">
        <v>36</v>
      </c>
      <c r="C246">
        <v>42</v>
      </c>
    </row>
    <row r="247" spans="1:3" x14ac:dyDescent="0.3">
      <c r="A247" t="s">
        <v>133</v>
      </c>
      <c r="B247" t="s">
        <v>36</v>
      </c>
      <c r="C247">
        <v>63.2</v>
      </c>
    </row>
    <row r="248" spans="1:3" x14ac:dyDescent="0.3">
      <c r="A248" t="s">
        <v>134</v>
      </c>
      <c r="B248" t="s">
        <v>36</v>
      </c>
      <c r="C248">
        <v>77.5</v>
      </c>
    </row>
    <row r="249" spans="1:3" x14ac:dyDescent="0.3">
      <c r="A249" t="s">
        <v>135</v>
      </c>
      <c r="B249" t="s">
        <v>36</v>
      </c>
      <c r="C249">
        <v>79.3</v>
      </c>
    </row>
    <row r="250" spans="1:3" x14ac:dyDescent="0.3">
      <c r="A250" t="s">
        <v>137</v>
      </c>
      <c r="B250" t="s">
        <v>36</v>
      </c>
      <c r="C250">
        <v>68.5</v>
      </c>
    </row>
    <row r="251" spans="1:3" x14ac:dyDescent="0.3">
      <c r="A251" t="s">
        <v>145</v>
      </c>
      <c r="B251" t="s">
        <v>36</v>
      </c>
      <c r="C251">
        <v>90.5</v>
      </c>
    </row>
    <row r="252" spans="1:3" x14ac:dyDescent="0.3">
      <c r="A252" t="s">
        <v>146</v>
      </c>
      <c r="B252" t="s">
        <v>36</v>
      </c>
      <c r="C252">
        <v>66.3</v>
      </c>
    </row>
    <row r="253" spans="1:3" x14ac:dyDescent="0.3">
      <c r="A253" t="s">
        <v>148</v>
      </c>
      <c r="B253" t="s">
        <v>36</v>
      </c>
      <c r="C253">
        <v>78.099999999999994</v>
      </c>
    </row>
    <row r="254" spans="1:3" x14ac:dyDescent="0.3">
      <c r="A254" t="s">
        <v>149</v>
      </c>
      <c r="B254" t="s">
        <v>36</v>
      </c>
      <c r="C254">
        <v>72.900000000000006</v>
      </c>
    </row>
    <row r="255" spans="1:3" x14ac:dyDescent="0.3">
      <c r="A255" t="s">
        <v>150</v>
      </c>
      <c r="B255" t="s">
        <v>36</v>
      </c>
      <c r="C255">
        <v>90.1</v>
      </c>
    </row>
    <row r="256" spans="1:3" x14ac:dyDescent="0.3">
      <c r="A256" t="s">
        <v>151</v>
      </c>
      <c r="B256" t="s">
        <v>36</v>
      </c>
      <c r="C256">
        <v>79.2</v>
      </c>
    </row>
    <row r="257" spans="1:3" x14ac:dyDescent="0.3">
      <c r="A257" t="s">
        <v>154</v>
      </c>
      <c r="B257" t="s">
        <v>36</v>
      </c>
      <c r="C257">
        <v>68.5</v>
      </c>
    </row>
    <row r="258" spans="1:3" x14ac:dyDescent="0.3">
      <c r="A258" t="s">
        <v>155</v>
      </c>
      <c r="B258" t="s">
        <v>36</v>
      </c>
      <c r="C258">
        <v>68.5</v>
      </c>
    </row>
    <row r="259" spans="1:3" x14ac:dyDescent="0.3">
      <c r="A259" t="s">
        <v>156</v>
      </c>
      <c r="B259" t="s">
        <v>36</v>
      </c>
      <c r="C259">
        <v>78.7</v>
      </c>
    </row>
    <row r="260" spans="1:3" x14ac:dyDescent="0.3">
      <c r="A260" t="s">
        <v>160</v>
      </c>
      <c r="B260" t="s">
        <v>36</v>
      </c>
      <c r="C260">
        <v>93.6</v>
      </c>
    </row>
    <row r="261" spans="1:3" x14ac:dyDescent="0.3">
      <c r="A261" t="s">
        <v>163</v>
      </c>
      <c r="B261" t="s">
        <v>36</v>
      </c>
      <c r="C261">
        <v>65</v>
      </c>
    </row>
    <row r="262" spans="1:3" x14ac:dyDescent="0.3">
      <c r="A262" t="s">
        <v>164</v>
      </c>
      <c r="B262" t="s">
        <v>36</v>
      </c>
      <c r="C262">
        <v>86.2</v>
      </c>
    </row>
    <row r="263" spans="1:3" x14ac:dyDescent="0.3">
      <c r="A263" t="s">
        <v>166</v>
      </c>
      <c r="B263" t="s">
        <v>36</v>
      </c>
      <c r="C263">
        <v>76.7</v>
      </c>
    </row>
    <row r="264" spans="1:3" x14ac:dyDescent="0.3">
      <c r="A264" t="s">
        <v>167</v>
      </c>
      <c r="B264" t="s">
        <v>36</v>
      </c>
      <c r="C264">
        <v>86.1</v>
      </c>
    </row>
    <row r="265" spans="1:3" x14ac:dyDescent="0.3">
      <c r="A265" t="s">
        <v>169</v>
      </c>
      <c r="B265" t="s">
        <v>36</v>
      </c>
      <c r="C265">
        <v>76.7</v>
      </c>
    </row>
    <row r="266" spans="1:3" x14ac:dyDescent="0.3">
      <c r="A266" t="s">
        <v>173</v>
      </c>
      <c r="B266" t="s">
        <v>36</v>
      </c>
      <c r="C266">
        <v>73</v>
      </c>
    </row>
    <row r="267" spans="1:3" x14ac:dyDescent="0.3">
      <c r="A267" t="s">
        <v>174</v>
      </c>
      <c r="B267" t="s">
        <v>36</v>
      </c>
      <c r="C267">
        <v>68.7</v>
      </c>
    </row>
    <row r="268" spans="1:3" x14ac:dyDescent="0.3">
      <c r="A268" t="s">
        <v>175</v>
      </c>
      <c r="B268" t="s">
        <v>36</v>
      </c>
      <c r="C268">
        <v>76</v>
      </c>
    </row>
    <row r="269" spans="1:3" x14ac:dyDescent="0.3">
      <c r="A269" t="s">
        <v>176</v>
      </c>
      <c r="B269" t="s">
        <v>36</v>
      </c>
      <c r="C269">
        <v>74.099999999999994</v>
      </c>
    </row>
    <row r="270" spans="1:3" x14ac:dyDescent="0.3">
      <c r="A270" t="s">
        <v>179</v>
      </c>
      <c r="B270" t="s">
        <v>36</v>
      </c>
      <c r="C270">
        <v>77.8</v>
      </c>
    </row>
    <row r="271" spans="1:3" x14ac:dyDescent="0.3">
      <c r="A271" t="s">
        <v>182</v>
      </c>
      <c r="B271" t="s">
        <v>36</v>
      </c>
      <c r="C271">
        <v>59.5</v>
      </c>
    </row>
    <row r="272" spans="1:3" x14ac:dyDescent="0.3">
      <c r="A272" t="s">
        <v>186</v>
      </c>
      <c r="B272" t="s">
        <v>36</v>
      </c>
      <c r="C272">
        <v>74.3</v>
      </c>
    </row>
    <row r="273" spans="1:3" x14ac:dyDescent="0.3">
      <c r="A273" t="s">
        <v>188</v>
      </c>
      <c r="B273" t="s">
        <v>36</v>
      </c>
      <c r="C273">
        <v>70.2</v>
      </c>
    </row>
    <row r="274" spans="1:3" x14ac:dyDescent="0.3">
      <c r="A274" t="s">
        <v>189</v>
      </c>
      <c r="B274" t="s">
        <v>36</v>
      </c>
      <c r="C274">
        <v>72</v>
      </c>
    </row>
    <row r="275" spans="1:3" x14ac:dyDescent="0.3">
      <c r="A275" t="s">
        <v>195</v>
      </c>
      <c r="B275" t="s">
        <v>36</v>
      </c>
      <c r="C275">
        <v>56</v>
      </c>
    </row>
    <row r="276" spans="1:3" x14ac:dyDescent="0.3">
      <c r="A276" t="s">
        <v>196</v>
      </c>
      <c r="B276" t="s">
        <v>36</v>
      </c>
      <c r="C276">
        <v>75.7</v>
      </c>
    </row>
    <row r="277" spans="1:3" x14ac:dyDescent="0.3">
      <c r="A277" t="s">
        <v>197</v>
      </c>
      <c r="B277" t="s">
        <v>36</v>
      </c>
      <c r="C277">
        <v>89.8</v>
      </c>
    </row>
    <row r="278" spans="1:3" x14ac:dyDescent="0.3">
      <c r="A278" t="s">
        <v>198</v>
      </c>
      <c r="B278" t="s">
        <v>36</v>
      </c>
      <c r="C278">
        <v>67.599999999999994</v>
      </c>
    </row>
    <row r="279" spans="1:3" x14ac:dyDescent="0.3">
      <c r="A279" t="s">
        <v>199</v>
      </c>
      <c r="B279" t="s">
        <v>36</v>
      </c>
      <c r="C279">
        <v>64.900000000000006</v>
      </c>
    </row>
    <row r="280" spans="1:3" x14ac:dyDescent="0.3">
      <c r="A280" t="s">
        <v>201</v>
      </c>
      <c r="B280" t="s">
        <v>36</v>
      </c>
      <c r="C280">
        <v>75.599999999999994</v>
      </c>
    </row>
    <row r="281" spans="1:3" x14ac:dyDescent="0.3">
      <c r="A281" t="s">
        <v>203</v>
      </c>
      <c r="B281" t="s">
        <v>36</v>
      </c>
      <c r="C281">
        <v>69.099999999999994</v>
      </c>
    </row>
    <row r="282" spans="1:3" x14ac:dyDescent="0.3">
      <c r="A282" t="s">
        <v>206</v>
      </c>
      <c r="B282" t="s">
        <v>36</v>
      </c>
      <c r="C282">
        <v>78.7</v>
      </c>
    </row>
    <row r="283" spans="1:3" x14ac:dyDescent="0.3">
      <c r="A283" t="s">
        <v>212</v>
      </c>
      <c r="B283" t="s">
        <v>36</v>
      </c>
      <c r="C283">
        <v>54.6</v>
      </c>
    </row>
    <row r="284" spans="1:3" x14ac:dyDescent="0.3">
      <c r="A284" t="s">
        <v>214</v>
      </c>
      <c r="B284" t="s">
        <v>36</v>
      </c>
      <c r="C284">
        <v>85</v>
      </c>
    </row>
    <row r="285" spans="1:3" x14ac:dyDescent="0.3">
      <c r="A285" t="s">
        <v>223</v>
      </c>
      <c r="B285" t="s">
        <v>36</v>
      </c>
      <c r="C285">
        <v>65.7</v>
      </c>
    </row>
    <row r="286" spans="1:3" x14ac:dyDescent="0.3">
      <c r="A286" t="s">
        <v>224</v>
      </c>
      <c r="B286" t="s">
        <v>36</v>
      </c>
      <c r="C286">
        <v>81.900000000000006</v>
      </c>
    </row>
    <row r="287" spans="1:3" x14ac:dyDescent="0.3">
      <c r="A287" t="s">
        <v>225</v>
      </c>
      <c r="B287" t="s">
        <v>36</v>
      </c>
      <c r="C287">
        <v>69.400000000000006</v>
      </c>
    </row>
    <row r="288" spans="1:3" x14ac:dyDescent="0.3">
      <c r="A288" t="s">
        <v>229</v>
      </c>
      <c r="B288" t="s">
        <v>36</v>
      </c>
      <c r="C288">
        <v>80.599999999999994</v>
      </c>
    </row>
    <row r="289" spans="1:3" x14ac:dyDescent="0.3">
      <c r="A289" t="s">
        <v>231</v>
      </c>
      <c r="B289" t="s">
        <v>36</v>
      </c>
      <c r="C289">
        <v>66.900000000000006</v>
      </c>
    </row>
    <row r="290" spans="1:3" x14ac:dyDescent="0.3">
      <c r="A290" t="s">
        <v>232</v>
      </c>
      <c r="B290" t="s">
        <v>36</v>
      </c>
      <c r="C290">
        <v>55.9</v>
      </c>
    </row>
    <row r="291" spans="1:3" x14ac:dyDescent="0.3">
      <c r="A291" t="s">
        <v>233</v>
      </c>
      <c r="B291" t="s">
        <v>36</v>
      </c>
      <c r="C291">
        <v>61.7</v>
      </c>
    </row>
    <row r="292" spans="1:3" x14ac:dyDescent="0.3">
      <c r="A292" t="s">
        <v>234</v>
      </c>
      <c r="B292" t="s">
        <v>36</v>
      </c>
      <c r="C292">
        <v>87.5</v>
      </c>
    </row>
    <row r="293" spans="1:3" x14ac:dyDescent="0.3">
      <c r="A293" t="s">
        <v>235</v>
      </c>
      <c r="B293" t="s">
        <v>36</v>
      </c>
      <c r="C293">
        <v>71.8</v>
      </c>
    </row>
    <row r="294" spans="1:3" x14ac:dyDescent="0.3">
      <c r="A294" t="s">
        <v>236</v>
      </c>
      <c r="B294" t="s">
        <v>36</v>
      </c>
      <c r="C294">
        <v>73.900000000000006</v>
      </c>
    </row>
    <row r="295" spans="1:3" x14ac:dyDescent="0.3">
      <c r="A295" t="s">
        <v>238</v>
      </c>
      <c r="B295" t="s">
        <v>36</v>
      </c>
      <c r="C295">
        <v>91.4</v>
      </c>
    </row>
    <row r="296" spans="1:3" x14ac:dyDescent="0.3">
      <c r="A296" t="s">
        <v>239</v>
      </c>
      <c r="B296" t="s">
        <v>36</v>
      </c>
      <c r="C296">
        <v>56.6</v>
      </c>
    </row>
    <row r="297" spans="1:3" x14ac:dyDescent="0.3">
      <c r="A297" t="s">
        <v>240</v>
      </c>
      <c r="B297" t="s">
        <v>36</v>
      </c>
      <c r="C297">
        <v>60.1</v>
      </c>
    </row>
    <row r="298" spans="1:3" x14ac:dyDescent="0.3">
      <c r="A298" t="s">
        <v>241</v>
      </c>
      <c r="B298" t="s">
        <v>36</v>
      </c>
      <c r="C298">
        <v>72.2</v>
      </c>
    </row>
    <row r="299" spans="1:3" x14ac:dyDescent="0.3">
      <c r="A299" t="s">
        <v>245</v>
      </c>
      <c r="B299" t="s">
        <v>36</v>
      </c>
      <c r="C299">
        <v>76.7</v>
      </c>
    </row>
    <row r="300" spans="1:3" x14ac:dyDescent="0.3">
      <c r="A300" t="s">
        <v>247</v>
      </c>
      <c r="B300" t="s">
        <v>36</v>
      </c>
      <c r="C300">
        <v>86.6</v>
      </c>
    </row>
    <row r="301" spans="1:3" x14ac:dyDescent="0.3">
      <c r="A301" t="s">
        <v>250</v>
      </c>
      <c r="B301" t="s">
        <v>36</v>
      </c>
      <c r="C301">
        <v>74.3</v>
      </c>
    </row>
    <row r="302" spans="1:3" x14ac:dyDescent="0.3">
      <c r="A302" t="s">
        <v>251</v>
      </c>
      <c r="B302" t="s">
        <v>36</v>
      </c>
      <c r="C302">
        <v>86.5</v>
      </c>
    </row>
    <row r="303" spans="1:3" x14ac:dyDescent="0.3">
      <c r="A303" t="s">
        <v>253</v>
      </c>
      <c r="B303" t="s">
        <v>36</v>
      </c>
      <c r="C303">
        <v>59.7</v>
      </c>
    </row>
    <row r="304" spans="1:3" x14ac:dyDescent="0.3">
      <c r="A304" t="s">
        <v>254</v>
      </c>
      <c r="B304" t="s">
        <v>36</v>
      </c>
      <c r="C304">
        <v>77.7</v>
      </c>
    </row>
    <row r="305" spans="1:3" x14ac:dyDescent="0.3">
      <c r="A305" t="s">
        <v>255</v>
      </c>
      <c r="B305" t="s">
        <v>36</v>
      </c>
      <c r="C305">
        <v>72.8</v>
      </c>
    </row>
    <row r="306" spans="1:3" x14ac:dyDescent="0.3">
      <c r="A306" t="s">
        <v>256</v>
      </c>
      <c r="B306" t="s">
        <v>36</v>
      </c>
      <c r="C306">
        <v>69.900000000000006</v>
      </c>
    </row>
    <row r="307" spans="1:3" x14ac:dyDescent="0.3">
      <c r="A307" t="s">
        <v>257</v>
      </c>
      <c r="B307" t="s">
        <v>36</v>
      </c>
      <c r="C307">
        <v>67.8</v>
      </c>
    </row>
    <row r="308" spans="1:3" x14ac:dyDescent="0.3">
      <c r="A308" t="s">
        <v>259</v>
      </c>
      <c r="B308" t="s">
        <v>36</v>
      </c>
      <c r="C308">
        <v>56.4</v>
      </c>
    </row>
    <row r="309" spans="1:3" x14ac:dyDescent="0.3">
      <c r="A309" t="s">
        <v>264</v>
      </c>
      <c r="B309" t="s">
        <v>36</v>
      </c>
      <c r="C309">
        <v>59.8</v>
      </c>
    </row>
    <row r="310" spans="1:3" x14ac:dyDescent="0.3">
      <c r="A310" t="s">
        <v>266</v>
      </c>
      <c r="B310" t="s">
        <v>36</v>
      </c>
      <c r="C310">
        <v>91.9</v>
      </c>
    </row>
    <row r="311" spans="1:3" x14ac:dyDescent="0.3">
      <c r="A311" t="s">
        <v>268</v>
      </c>
      <c r="B311" t="s">
        <v>36</v>
      </c>
      <c r="C311">
        <v>70.8</v>
      </c>
    </row>
    <row r="312" spans="1:3" x14ac:dyDescent="0.3">
      <c r="A312" t="s">
        <v>269</v>
      </c>
      <c r="B312" t="s">
        <v>36</v>
      </c>
      <c r="C312">
        <v>86.7</v>
      </c>
    </row>
    <row r="313" spans="1:3" x14ac:dyDescent="0.3">
      <c r="A313" t="s">
        <v>272</v>
      </c>
      <c r="B313" t="s">
        <v>36</v>
      </c>
      <c r="C313">
        <v>63.2</v>
      </c>
    </row>
    <row r="314" spans="1:3" x14ac:dyDescent="0.3">
      <c r="A314" t="s">
        <v>273</v>
      </c>
      <c r="B314" t="s">
        <v>36</v>
      </c>
      <c r="C314">
        <v>91.8</v>
      </c>
    </row>
    <row r="315" spans="1:3" x14ac:dyDescent="0.3">
      <c r="A315" t="s">
        <v>274</v>
      </c>
      <c r="B315" t="s">
        <v>36</v>
      </c>
      <c r="C315">
        <v>95.9</v>
      </c>
    </row>
    <row r="316" spans="1:3" x14ac:dyDescent="0.3">
      <c r="A316" t="s">
        <v>275</v>
      </c>
      <c r="B316" t="s">
        <v>36</v>
      </c>
      <c r="C316">
        <v>87.8</v>
      </c>
    </row>
    <row r="317" spans="1:3" x14ac:dyDescent="0.3">
      <c r="A317" t="s">
        <v>276</v>
      </c>
      <c r="B317" t="s">
        <v>36</v>
      </c>
      <c r="C317">
        <v>97.6</v>
      </c>
    </row>
    <row r="318" spans="1:3" x14ac:dyDescent="0.3">
      <c r="A318" t="s">
        <v>277</v>
      </c>
      <c r="B318" t="s">
        <v>36</v>
      </c>
      <c r="C318">
        <v>78.7</v>
      </c>
    </row>
    <row r="319" spans="1:3" x14ac:dyDescent="0.3">
      <c r="A319" t="s">
        <v>280</v>
      </c>
      <c r="B319" t="s">
        <v>36</v>
      </c>
      <c r="C319">
        <v>65.3</v>
      </c>
    </row>
    <row r="320" spans="1:3" x14ac:dyDescent="0.3">
      <c r="A320" t="s">
        <v>283</v>
      </c>
      <c r="B320" t="s">
        <v>36</v>
      </c>
      <c r="C320">
        <v>84.8</v>
      </c>
    </row>
    <row r="321" spans="1:3" x14ac:dyDescent="0.3">
      <c r="A321" t="s">
        <v>285</v>
      </c>
      <c r="B321" t="s">
        <v>36</v>
      </c>
      <c r="C321">
        <v>70.3</v>
      </c>
    </row>
    <row r="322" spans="1:3" x14ac:dyDescent="0.3">
      <c r="A322" t="s">
        <v>286</v>
      </c>
      <c r="B322" t="s">
        <v>36</v>
      </c>
      <c r="C322">
        <v>57.8</v>
      </c>
    </row>
    <row r="323" spans="1:3" x14ac:dyDescent="0.3">
      <c r="A323" t="s">
        <v>288</v>
      </c>
      <c r="B323" t="s">
        <v>36</v>
      </c>
      <c r="C323">
        <v>99.5</v>
      </c>
    </row>
    <row r="324" spans="1:3" x14ac:dyDescent="0.3">
      <c r="A324" t="s">
        <v>290</v>
      </c>
      <c r="B324" t="s">
        <v>36</v>
      </c>
      <c r="C324">
        <v>71.3</v>
      </c>
    </row>
    <row r="325" spans="1:3" x14ac:dyDescent="0.3">
      <c r="A325" t="s">
        <v>292</v>
      </c>
      <c r="B325" t="s">
        <v>36</v>
      </c>
      <c r="C325">
        <v>64.3</v>
      </c>
    </row>
    <row r="326" spans="1:3" x14ac:dyDescent="0.3">
      <c r="A326" t="s">
        <v>295</v>
      </c>
      <c r="B326" t="s">
        <v>36</v>
      </c>
      <c r="C326">
        <v>86.4</v>
      </c>
    </row>
    <row r="327" spans="1:3" x14ac:dyDescent="0.3">
      <c r="A327" t="s">
        <v>303</v>
      </c>
      <c r="B327" t="s">
        <v>36</v>
      </c>
      <c r="C327">
        <v>58.3</v>
      </c>
    </row>
    <row r="328" spans="1:3" x14ac:dyDescent="0.3">
      <c r="A328" t="s">
        <v>304</v>
      </c>
      <c r="B328" t="s">
        <v>36</v>
      </c>
      <c r="C328">
        <v>78.400000000000006</v>
      </c>
    </row>
    <row r="329" spans="1:3" x14ac:dyDescent="0.3">
      <c r="A329" t="s">
        <v>305</v>
      </c>
      <c r="B329" t="s">
        <v>36</v>
      </c>
      <c r="C329">
        <v>76.5</v>
      </c>
    </row>
    <row r="330" spans="1:3" x14ac:dyDescent="0.3">
      <c r="A330" t="s">
        <v>308</v>
      </c>
      <c r="B330" t="s">
        <v>36</v>
      </c>
      <c r="C330">
        <v>59.2</v>
      </c>
    </row>
    <row r="331" spans="1:3" x14ac:dyDescent="0.3">
      <c r="A331" t="s">
        <v>309</v>
      </c>
      <c r="B331" t="s">
        <v>36</v>
      </c>
      <c r="C331">
        <v>90.2</v>
      </c>
    </row>
    <row r="332" spans="1:3" x14ac:dyDescent="0.3">
      <c r="A332" t="s">
        <v>310</v>
      </c>
      <c r="B332" t="s">
        <v>36</v>
      </c>
      <c r="C332">
        <v>64.900000000000006</v>
      </c>
    </row>
    <row r="333" spans="1:3" x14ac:dyDescent="0.3">
      <c r="A333" t="s">
        <v>313</v>
      </c>
      <c r="B333" t="s">
        <v>36</v>
      </c>
      <c r="C333">
        <v>77.3</v>
      </c>
    </row>
    <row r="334" spans="1:3" x14ac:dyDescent="0.3">
      <c r="A334" t="s">
        <v>314</v>
      </c>
      <c r="B334" t="s">
        <v>36</v>
      </c>
      <c r="C334">
        <v>78.8</v>
      </c>
    </row>
    <row r="335" spans="1:3" x14ac:dyDescent="0.3">
      <c r="A335" t="s">
        <v>315</v>
      </c>
      <c r="B335" t="s">
        <v>36</v>
      </c>
      <c r="C335">
        <v>50.4</v>
      </c>
    </row>
    <row r="336" spans="1:3" x14ac:dyDescent="0.3">
      <c r="A336" t="s">
        <v>316</v>
      </c>
      <c r="B336" t="s">
        <v>36</v>
      </c>
      <c r="C336">
        <v>60.6</v>
      </c>
    </row>
    <row r="337" spans="1:3" x14ac:dyDescent="0.3">
      <c r="A337" t="s">
        <v>318</v>
      </c>
      <c r="B337" t="s">
        <v>36</v>
      </c>
      <c r="C337">
        <v>59.1</v>
      </c>
    </row>
    <row r="338" spans="1:3" x14ac:dyDescent="0.3">
      <c r="A338" t="s">
        <v>319</v>
      </c>
      <c r="B338" t="s">
        <v>36</v>
      </c>
      <c r="C338">
        <v>77.5</v>
      </c>
    </row>
    <row r="339" spans="1:3" x14ac:dyDescent="0.3">
      <c r="A339" t="s">
        <v>321</v>
      </c>
      <c r="B339" t="s">
        <v>36</v>
      </c>
      <c r="C339">
        <v>63.8</v>
      </c>
    </row>
    <row r="340" spans="1:3" x14ac:dyDescent="0.3">
      <c r="A340" t="s">
        <v>322</v>
      </c>
      <c r="B340" t="s">
        <v>36</v>
      </c>
      <c r="C340">
        <v>53.1</v>
      </c>
    </row>
    <row r="341" spans="1:3" x14ac:dyDescent="0.3">
      <c r="A341" t="s">
        <v>323</v>
      </c>
      <c r="B341" t="s">
        <v>36</v>
      </c>
      <c r="C341">
        <v>57.7</v>
      </c>
    </row>
    <row r="342" spans="1:3" x14ac:dyDescent="0.3">
      <c r="A342" t="s">
        <v>326</v>
      </c>
      <c r="B342" t="s">
        <v>36</v>
      </c>
      <c r="C342">
        <v>63</v>
      </c>
    </row>
    <row r="343" spans="1:3" x14ac:dyDescent="0.3">
      <c r="A343" t="s">
        <v>330</v>
      </c>
      <c r="B343" t="s">
        <v>36</v>
      </c>
      <c r="C343">
        <v>75.900000000000006</v>
      </c>
    </row>
    <row r="344" spans="1:3" x14ac:dyDescent="0.3">
      <c r="A344" t="s">
        <v>331</v>
      </c>
      <c r="B344" t="s">
        <v>36</v>
      </c>
      <c r="C344">
        <v>71.099999999999994</v>
      </c>
    </row>
    <row r="345" spans="1:3" x14ac:dyDescent="0.3">
      <c r="A345" t="s">
        <v>332</v>
      </c>
      <c r="B345" t="s">
        <v>36</v>
      </c>
      <c r="C345">
        <v>72.5</v>
      </c>
    </row>
    <row r="346" spans="1:3" x14ac:dyDescent="0.3">
      <c r="A346" t="s">
        <v>334</v>
      </c>
      <c r="B346" t="s">
        <v>36</v>
      </c>
      <c r="C346">
        <v>83.3</v>
      </c>
    </row>
    <row r="347" spans="1:3" x14ac:dyDescent="0.3">
      <c r="A347" t="s">
        <v>335</v>
      </c>
      <c r="B347" t="s">
        <v>36</v>
      </c>
      <c r="C347">
        <v>78.5</v>
      </c>
    </row>
    <row r="348" spans="1:3" x14ac:dyDescent="0.3">
      <c r="A348" t="s">
        <v>336</v>
      </c>
      <c r="B348" t="s">
        <v>36</v>
      </c>
      <c r="C348">
        <v>72</v>
      </c>
    </row>
    <row r="349" spans="1:3" x14ac:dyDescent="0.3">
      <c r="A349" t="s">
        <v>337</v>
      </c>
      <c r="B349" t="s">
        <v>36</v>
      </c>
      <c r="C349">
        <v>72.8</v>
      </c>
    </row>
    <row r="350" spans="1:3" x14ac:dyDescent="0.3">
      <c r="A350" t="s">
        <v>339</v>
      </c>
      <c r="B350" t="s">
        <v>36</v>
      </c>
      <c r="C350">
        <v>86.1</v>
      </c>
    </row>
    <row r="351" spans="1:3" x14ac:dyDescent="0.3">
      <c r="A351" t="s">
        <v>346</v>
      </c>
      <c r="B351" t="s">
        <v>36</v>
      </c>
      <c r="C351">
        <v>69.599999999999994</v>
      </c>
    </row>
    <row r="352" spans="1:3" x14ac:dyDescent="0.3">
      <c r="A352" t="s">
        <v>350</v>
      </c>
      <c r="B352" t="s">
        <v>36</v>
      </c>
      <c r="C352">
        <v>86.3</v>
      </c>
    </row>
    <row r="353" spans="1:3" x14ac:dyDescent="0.3">
      <c r="A353" t="s">
        <v>351</v>
      </c>
      <c r="B353" t="s">
        <v>36</v>
      </c>
      <c r="C353">
        <v>41.5</v>
      </c>
    </row>
    <row r="354" spans="1:3" x14ac:dyDescent="0.3">
      <c r="A354" t="s">
        <v>352</v>
      </c>
      <c r="B354" t="s">
        <v>36</v>
      </c>
      <c r="C354">
        <v>74.900000000000006</v>
      </c>
    </row>
    <row r="355" spans="1:3" x14ac:dyDescent="0.3">
      <c r="A355" t="s">
        <v>353</v>
      </c>
      <c r="B355" t="s">
        <v>36</v>
      </c>
      <c r="C355">
        <v>81.7</v>
      </c>
    </row>
    <row r="356" spans="1:3" x14ac:dyDescent="0.3">
      <c r="A356" t="s">
        <v>354</v>
      </c>
      <c r="B356" t="s">
        <v>36</v>
      </c>
      <c r="C356">
        <v>65</v>
      </c>
    </row>
    <row r="357" spans="1:3" x14ac:dyDescent="0.3">
      <c r="A357" t="s">
        <v>355</v>
      </c>
      <c r="B357" t="s">
        <v>36</v>
      </c>
      <c r="C357">
        <v>63.4</v>
      </c>
    </row>
    <row r="358" spans="1:3" x14ac:dyDescent="0.3">
      <c r="A358" t="s">
        <v>356</v>
      </c>
      <c r="B358" t="s">
        <v>36</v>
      </c>
      <c r="C358">
        <v>91.3</v>
      </c>
    </row>
    <row r="359" spans="1:3" x14ac:dyDescent="0.3">
      <c r="A359" t="s">
        <v>357</v>
      </c>
      <c r="B359" t="s">
        <v>36</v>
      </c>
      <c r="C359">
        <v>64.400000000000006</v>
      </c>
    </row>
    <row r="360" spans="1:3" x14ac:dyDescent="0.3">
      <c r="A360" t="s">
        <v>358</v>
      </c>
      <c r="B360" t="s">
        <v>36</v>
      </c>
      <c r="C360">
        <v>70.400000000000006</v>
      </c>
    </row>
    <row r="361" spans="1:3" x14ac:dyDescent="0.3">
      <c r="A361" t="s">
        <v>359</v>
      </c>
      <c r="B361" t="s">
        <v>36</v>
      </c>
      <c r="C361">
        <v>56.2</v>
      </c>
    </row>
    <row r="362" spans="1:3" x14ac:dyDescent="0.3">
      <c r="A362" t="s">
        <v>360</v>
      </c>
      <c r="B362" t="s">
        <v>36</v>
      </c>
      <c r="C362">
        <v>83.4</v>
      </c>
    </row>
    <row r="363" spans="1:3" x14ac:dyDescent="0.3">
      <c r="A363" t="s">
        <v>361</v>
      </c>
      <c r="B363" t="s">
        <v>36</v>
      </c>
      <c r="C363">
        <v>67.8</v>
      </c>
    </row>
    <row r="364" spans="1:3" x14ac:dyDescent="0.3">
      <c r="A364" t="s">
        <v>362</v>
      </c>
      <c r="B364" t="s">
        <v>36</v>
      </c>
      <c r="C364">
        <v>60.6</v>
      </c>
    </row>
    <row r="365" spans="1:3" x14ac:dyDescent="0.3">
      <c r="A365" t="s">
        <v>363</v>
      </c>
      <c r="B365" t="s">
        <v>36</v>
      </c>
      <c r="C365">
        <v>68.099999999999994</v>
      </c>
    </row>
    <row r="366" spans="1:3" x14ac:dyDescent="0.3">
      <c r="A366" t="s">
        <v>364</v>
      </c>
      <c r="B366" t="s">
        <v>36</v>
      </c>
      <c r="C366">
        <v>83.8</v>
      </c>
    </row>
    <row r="367" spans="1:3" x14ac:dyDescent="0.3">
      <c r="A367" t="s">
        <v>365</v>
      </c>
      <c r="B367" t="s">
        <v>36</v>
      </c>
      <c r="C367">
        <v>100</v>
      </c>
    </row>
    <row r="368" spans="1:3" x14ac:dyDescent="0.3">
      <c r="A368" t="s">
        <v>368</v>
      </c>
      <c r="B368" t="s">
        <v>36</v>
      </c>
      <c r="C368">
        <v>53.7</v>
      </c>
    </row>
    <row r="369" spans="1:3" x14ac:dyDescent="0.3">
      <c r="A369" t="s">
        <v>370</v>
      </c>
      <c r="B369" t="s">
        <v>36</v>
      </c>
      <c r="C369">
        <v>72.099999999999994</v>
      </c>
    </row>
    <row r="370" spans="1:3" x14ac:dyDescent="0.3">
      <c r="A370" t="s">
        <v>371</v>
      </c>
      <c r="B370" t="s">
        <v>36</v>
      </c>
      <c r="C370">
        <v>100</v>
      </c>
    </row>
    <row r="371" spans="1:3" x14ac:dyDescent="0.3">
      <c r="A371" t="s">
        <v>377</v>
      </c>
      <c r="B371" t="s">
        <v>36</v>
      </c>
      <c r="C371">
        <v>65.599999999999994</v>
      </c>
    </row>
    <row r="372" spans="1:3" x14ac:dyDescent="0.3">
      <c r="A372" t="s">
        <v>379</v>
      </c>
      <c r="B372" t="s">
        <v>36</v>
      </c>
      <c r="C372">
        <v>70.900000000000006</v>
      </c>
    </row>
    <row r="373" spans="1:3" x14ac:dyDescent="0.3">
      <c r="A373" t="s">
        <v>381</v>
      </c>
      <c r="B373" t="s">
        <v>36</v>
      </c>
      <c r="C373">
        <v>92.3</v>
      </c>
    </row>
    <row r="374" spans="1:3" x14ac:dyDescent="0.3">
      <c r="A374" t="s">
        <v>383</v>
      </c>
      <c r="B374" t="s">
        <v>36</v>
      </c>
      <c r="C374">
        <v>84.4</v>
      </c>
    </row>
    <row r="375" spans="1:3" x14ac:dyDescent="0.3">
      <c r="A375" t="s">
        <v>384</v>
      </c>
      <c r="B375" t="s">
        <v>36</v>
      </c>
      <c r="C375">
        <v>82.9</v>
      </c>
    </row>
    <row r="376" spans="1:3" x14ac:dyDescent="0.3">
      <c r="A376" t="s">
        <v>385</v>
      </c>
      <c r="B376" t="s">
        <v>36</v>
      </c>
      <c r="C376">
        <v>68.400000000000006</v>
      </c>
    </row>
    <row r="377" spans="1:3" x14ac:dyDescent="0.3">
      <c r="A377" t="s">
        <v>387</v>
      </c>
      <c r="B377" t="s">
        <v>36</v>
      </c>
      <c r="C377">
        <v>83.1</v>
      </c>
    </row>
    <row r="378" spans="1:3" x14ac:dyDescent="0.3">
      <c r="A378" t="s">
        <v>389</v>
      </c>
      <c r="B378" t="s">
        <v>36</v>
      </c>
      <c r="C378">
        <v>61.5</v>
      </c>
    </row>
    <row r="379" spans="1:3" x14ac:dyDescent="0.3">
      <c r="A379" t="s">
        <v>391</v>
      </c>
      <c r="B379" t="s">
        <v>36</v>
      </c>
      <c r="C379">
        <v>71.900000000000006</v>
      </c>
    </row>
    <row r="380" spans="1:3" x14ac:dyDescent="0.3">
      <c r="A380" t="s">
        <v>392</v>
      </c>
      <c r="B380" t="s">
        <v>36</v>
      </c>
      <c r="C380">
        <v>48.9</v>
      </c>
    </row>
    <row r="381" spans="1:3" x14ac:dyDescent="0.3">
      <c r="A381" t="s">
        <v>394</v>
      </c>
      <c r="B381" t="s">
        <v>36</v>
      </c>
      <c r="C381">
        <v>67.5</v>
      </c>
    </row>
    <row r="382" spans="1:3" x14ac:dyDescent="0.3">
      <c r="A382" t="s">
        <v>395</v>
      </c>
      <c r="B382" t="s">
        <v>36</v>
      </c>
      <c r="C382">
        <v>83</v>
      </c>
    </row>
    <row r="383" spans="1:3" x14ac:dyDescent="0.3">
      <c r="A383" t="s">
        <v>396</v>
      </c>
      <c r="B383" t="s">
        <v>36</v>
      </c>
      <c r="C383">
        <v>50.8</v>
      </c>
    </row>
    <row r="384" spans="1:3" x14ac:dyDescent="0.3">
      <c r="A384" t="s">
        <v>397</v>
      </c>
      <c r="B384" t="s">
        <v>36</v>
      </c>
      <c r="C384">
        <v>73.8</v>
      </c>
    </row>
    <row r="385" spans="1:3" x14ac:dyDescent="0.3">
      <c r="A385" t="s">
        <v>402</v>
      </c>
      <c r="B385" t="s">
        <v>36</v>
      </c>
      <c r="C385">
        <v>68.8</v>
      </c>
    </row>
    <row r="386" spans="1:3" x14ac:dyDescent="0.3">
      <c r="A386" t="s">
        <v>407</v>
      </c>
      <c r="B386" t="s">
        <v>36</v>
      </c>
      <c r="C386">
        <v>64.2</v>
      </c>
    </row>
    <row r="387" spans="1:3" x14ac:dyDescent="0.3">
      <c r="A387" t="s">
        <v>408</v>
      </c>
      <c r="B387" t="s">
        <v>36</v>
      </c>
      <c r="C387">
        <v>61.4</v>
      </c>
    </row>
    <row r="388" spans="1:3" x14ac:dyDescent="0.3">
      <c r="A388" t="s">
        <v>409</v>
      </c>
      <c r="B388" t="s">
        <v>36</v>
      </c>
      <c r="C388">
        <v>62.8</v>
      </c>
    </row>
    <row r="389" spans="1:3" x14ac:dyDescent="0.3">
      <c r="A389" t="s">
        <v>411</v>
      </c>
      <c r="B389" t="s">
        <v>36</v>
      </c>
      <c r="C389">
        <v>54.6</v>
      </c>
    </row>
    <row r="390" spans="1:3" x14ac:dyDescent="0.3">
      <c r="A390" t="s">
        <v>413</v>
      </c>
      <c r="B390" t="s">
        <v>36</v>
      </c>
      <c r="C390">
        <v>84.9</v>
      </c>
    </row>
    <row r="391" spans="1:3" x14ac:dyDescent="0.3">
      <c r="A391" t="s">
        <v>415</v>
      </c>
      <c r="B391" t="s">
        <v>36</v>
      </c>
      <c r="C391">
        <v>48.8</v>
      </c>
    </row>
    <row r="392" spans="1:3" x14ac:dyDescent="0.3">
      <c r="A392" t="s">
        <v>416</v>
      </c>
      <c r="B392" t="s">
        <v>36</v>
      </c>
      <c r="C392">
        <v>69.599999999999994</v>
      </c>
    </row>
    <row r="393" spans="1:3" x14ac:dyDescent="0.3">
      <c r="A393" t="s">
        <v>417</v>
      </c>
      <c r="B393" t="s">
        <v>36</v>
      </c>
      <c r="C393">
        <v>46.7</v>
      </c>
    </row>
    <row r="394" spans="1:3" x14ac:dyDescent="0.3">
      <c r="A394" t="s">
        <v>418</v>
      </c>
      <c r="B394" t="s">
        <v>36</v>
      </c>
      <c r="C394">
        <v>74</v>
      </c>
    </row>
    <row r="395" spans="1:3" x14ac:dyDescent="0.3">
      <c r="A395" t="s">
        <v>422</v>
      </c>
      <c r="B395" t="s">
        <v>36</v>
      </c>
      <c r="C395">
        <v>64.099999999999994</v>
      </c>
    </row>
    <row r="396" spans="1:3" x14ac:dyDescent="0.3">
      <c r="A396" t="s">
        <v>424</v>
      </c>
      <c r="B396" t="s">
        <v>36</v>
      </c>
      <c r="C396">
        <v>83.9</v>
      </c>
    </row>
    <row r="397" spans="1:3" x14ac:dyDescent="0.3">
      <c r="A397" t="s">
        <v>426</v>
      </c>
      <c r="B397" t="s">
        <v>36</v>
      </c>
      <c r="C397">
        <v>73.5</v>
      </c>
    </row>
    <row r="398" spans="1:3" x14ac:dyDescent="0.3">
      <c r="A398" t="s">
        <v>427</v>
      </c>
      <c r="B398" t="s">
        <v>36</v>
      </c>
      <c r="C398">
        <v>72.5</v>
      </c>
    </row>
    <row r="399" spans="1:3" x14ac:dyDescent="0.3">
      <c r="A399" t="s">
        <v>429</v>
      </c>
      <c r="B399" t="s">
        <v>36</v>
      </c>
      <c r="C399">
        <v>81.7</v>
      </c>
    </row>
    <row r="400" spans="1:3" x14ac:dyDescent="0.3">
      <c r="A400" t="s">
        <v>434</v>
      </c>
      <c r="B400" t="s">
        <v>36</v>
      </c>
      <c r="C400">
        <v>70</v>
      </c>
    </row>
    <row r="401" spans="1:3" x14ac:dyDescent="0.3">
      <c r="A401" t="s">
        <v>435</v>
      </c>
      <c r="B401" t="s">
        <v>36</v>
      </c>
      <c r="C401">
        <v>80.099999999999994</v>
      </c>
    </row>
  </sheetData>
  <sortState xmlns:xlrd2="http://schemas.microsoft.com/office/spreadsheetml/2017/richdata2" ref="A2:C401">
    <sortCondition ref="B2:B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ED92-2EF9-485B-AB24-B8F091903F46}">
  <dimension ref="A1:N61"/>
  <sheetViews>
    <sheetView tabSelected="1" zoomScale="90" workbookViewId="0">
      <selection activeCell="J24" sqref="J24"/>
    </sheetView>
  </sheetViews>
  <sheetFormatPr defaultRowHeight="14.4" x14ac:dyDescent="0.3"/>
  <cols>
    <col min="1" max="1" width="8.6640625" bestFit="1" customWidth="1"/>
    <col min="2" max="2" width="16.44140625" bestFit="1" customWidth="1"/>
    <col min="3" max="3" width="17" bestFit="1" customWidth="1"/>
    <col min="4" max="4" width="20" bestFit="1" customWidth="1"/>
    <col min="5" max="5" width="14.6640625" bestFit="1" customWidth="1"/>
    <col min="6" max="6" width="13.5546875" bestFit="1" customWidth="1"/>
    <col min="7" max="7" width="12.109375" bestFit="1" customWidth="1"/>
    <col min="11" max="11" width="18.77734375" bestFit="1" customWidth="1"/>
    <col min="12" max="12" width="12" bestFit="1" customWidth="1"/>
    <col min="13" max="13" width="18.109375" bestFit="1" customWidth="1"/>
    <col min="14" max="14" width="18.88671875" customWidth="1"/>
    <col min="15" max="15" width="13.88671875" bestFit="1" customWidth="1"/>
    <col min="16" max="16" width="12.33203125" bestFit="1" customWidth="1"/>
  </cols>
  <sheetData>
    <row r="1" spans="1:12" x14ac:dyDescent="0.3">
      <c r="A1" t="s">
        <v>501</v>
      </c>
      <c r="B1" t="s">
        <v>502</v>
      </c>
      <c r="C1" t="s">
        <v>503</v>
      </c>
      <c r="D1" t="s">
        <v>1</v>
      </c>
      <c r="E1" t="s">
        <v>504</v>
      </c>
      <c r="F1" t="s">
        <v>506</v>
      </c>
      <c r="G1" t="s">
        <v>505</v>
      </c>
    </row>
    <row r="2" spans="1:12" x14ac:dyDescent="0.3">
      <c r="A2" t="s">
        <v>507</v>
      </c>
      <c r="B2">
        <v>95.5</v>
      </c>
      <c r="C2">
        <v>685</v>
      </c>
      <c r="D2">
        <v>26.6</v>
      </c>
      <c r="E2">
        <v>0.56999999999999995</v>
      </c>
      <c r="F2">
        <v>0</v>
      </c>
      <c r="G2">
        <v>29.6</v>
      </c>
    </row>
    <row r="3" spans="1:12" x14ac:dyDescent="0.3">
      <c r="A3" t="s">
        <v>508</v>
      </c>
      <c r="B3">
        <v>289</v>
      </c>
      <c r="C3">
        <v>2020</v>
      </c>
      <c r="D3">
        <v>20</v>
      </c>
      <c r="E3">
        <v>1.65</v>
      </c>
      <c r="F3">
        <v>1</v>
      </c>
      <c r="G3">
        <v>27.6</v>
      </c>
    </row>
    <row r="4" spans="1:12" x14ac:dyDescent="0.3">
      <c r="A4" t="s">
        <v>509</v>
      </c>
      <c r="B4">
        <v>350.2</v>
      </c>
      <c r="C4">
        <v>2880</v>
      </c>
      <c r="D4">
        <v>34.200000000000003</v>
      </c>
      <c r="E4">
        <v>1.88</v>
      </c>
      <c r="F4">
        <v>0</v>
      </c>
      <c r="G4">
        <v>26.6</v>
      </c>
    </row>
    <row r="5" spans="1:12" x14ac:dyDescent="0.3">
      <c r="A5" t="s">
        <v>510</v>
      </c>
      <c r="B5">
        <v>276</v>
      </c>
      <c r="C5">
        <v>2102</v>
      </c>
      <c r="D5">
        <v>36.5</v>
      </c>
      <c r="E5">
        <v>1.8</v>
      </c>
      <c r="F5">
        <v>0</v>
      </c>
      <c r="G5">
        <v>22.2</v>
      </c>
    </row>
    <row r="6" spans="1:12" x14ac:dyDescent="0.3">
      <c r="A6" t="s">
        <v>511</v>
      </c>
      <c r="B6">
        <v>355.8</v>
      </c>
      <c r="C6">
        <v>2735</v>
      </c>
      <c r="D6">
        <v>20.2</v>
      </c>
      <c r="E6">
        <v>2.31</v>
      </c>
      <c r="F6">
        <v>1</v>
      </c>
      <c r="G6">
        <v>27.7</v>
      </c>
    </row>
    <row r="7" spans="1:12" x14ac:dyDescent="0.3">
      <c r="A7" t="s">
        <v>512</v>
      </c>
      <c r="B7">
        <v>149.69999999999999</v>
      </c>
      <c r="C7">
        <v>500</v>
      </c>
      <c r="D7">
        <v>27</v>
      </c>
      <c r="E7">
        <v>0.53</v>
      </c>
      <c r="F7">
        <v>0</v>
      </c>
      <c r="G7">
        <v>22.6</v>
      </c>
    </row>
    <row r="8" spans="1:12" x14ac:dyDescent="0.3">
      <c r="A8" t="s">
        <v>513</v>
      </c>
      <c r="B8">
        <v>294</v>
      </c>
      <c r="C8">
        <v>2165</v>
      </c>
      <c r="D8">
        <v>35.1</v>
      </c>
      <c r="E8">
        <v>1.43</v>
      </c>
      <c r="F8">
        <v>0</v>
      </c>
      <c r="G8">
        <v>26.3</v>
      </c>
    </row>
    <row r="9" spans="1:12" x14ac:dyDescent="0.3">
      <c r="A9" t="s">
        <v>514</v>
      </c>
      <c r="B9">
        <v>201.9</v>
      </c>
      <c r="C9">
        <v>918</v>
      </c>
      <c r="D9">
        <v>42.3</v>
      </c>
      <c r="E9">
        <v>0.79</v>
      </c>
      <c r="F9">
        <v>0</v>
      </c>
      <c r="G9">
        <v>35.5</v>
      </c>
    </row>
    <row r="10" spans="1:12" x14ac:dyDescent="0.3">
      <c r="A10" t="s">
        <v>515</v>
      </c>
      <c r="B10">
        <v>334.7</v>
      </c>
      <c r="C10">
        <v>1895</v>
      </c>
      <c r="D10">
        <v>32.1</v>
      </c>
      <c r="E10">
        <v>1.78</v>
      </c>
      <c r="F10">
        <v>1</v>
      </c>
      <c r="G10">
        <v>16.899999999999999</v>
      </c>
    </row>
    <row r="11" spans="1:12" x14ac:dyDescent="0.3">
      <c r="A11" t="s">
        <v>516</v>
      </c>
      <c r="B11">
        <v>223</v>
      </c>
      <c r="C11">
        <v>1042</v>
      </c>
      <c r="D11">
        <v>28.4</v>
      </c>
      <c r="E11">
        <v>1.34</v>
      </c>
      <c r="F11">
        <v>1</v>
      </c>
      <c r="G11">
        <v>34.1</v>
      </c>
    </row>
    <row r="12" spans="1:12" x14ac:dyDescent="0.3">
      <c r="A12" t="s">
        <v>517</v>
      </c>
      <c r="B12">
        <v>288.60000000000002</v>
      </c>
      <c r="C12">
        <v>2016</v>
      </c>
      <c r="D12">
        <v>31.1</v>
      </c>
      <c r="E12">
        <v>1.5</v>
      </c>
      <c r="F12">
        <v>0</v>
      </c>
      <c r="G12">
        <v>35.5</v>
      </c>
    </row>
    <row r="13" spans="1:12" x14ac:dyDescent="0.3">
      <c r="A13" t="s">
        <v>518</v>
      </c>
      <c r="B13">
        <v>287.60000000000002</v>
      </c>
      <c r="C13">
        <v>1505</v>
      </c>
      <c r="D13">
        <v>38.9</v>
      </c>
      <c r="E13">
        <v>1.1499999999999999</v>
      </c>
      <c r="F13">
        <v>1</v>
      </c>
      <c r="G13">
        <v>24.1</v>
      </c>
    </row>
    <row r="14" spans="1:12" x14ac:dyDescent="0.3">
      <c r="A14" t="s">
        <v>519</v>
      </c>
      <c r="B14">
        <v>185.5</v>
      </c>
      <c r="C14">
        <v>934</v>
      </c>
      <c r="D14">
        <v>28.8</v>
      </c>
      <c r="E14">
        <v>0.46</v>
      </c>
      <c r="F14">
        <v>0</v>
      </c>
      <c r="G14">
        <v>10</v>
      </c>
    </row>
    <row r="15" spans="1:12" x14ac:dyDescent="0.3">
      <c r="A15" t="s">
        <v>520</v>
      </c>
      <c r="B15">
        <v>186.8</v>
      </c>
      <c r="C15">
        <v>1004</v>
      </c>
      <c r="D15">
        <v>28</v>
      </c>
      <c r="E15">
        <v>0.93</v>
      </c>
      <c r="F15">
        <v>1</v>
      </c>
      <c r="G15">
        <v>20.100000000000001</v>
      </c>
      <c r="K15" t="s">
        <v>584</v>
      </c>
    </row>
    <row r="16" spans="1:12" ht="15" thickBot="1" x14ac:dyDescent="0.35">
      <c r="A16" t="s">
        <v>521</v>
      </c>
      <c r="B16">
        <v>500</v>
      </c>
      <c r="C16">
        <v>4965</v>
      </c>
      <c r="D16">
        <v>29.6</v>
      </c>
      <c r="E16">
        <v>3.64</v>
      </c>
      <c r="F16">
        <v>1</v>
      </c>
      <c r="G16">
        <v>35.4</v>
      </c>
      <c r="K16" s="8"/>
      <c r="L16" s="8"/>
    </row>
    <row r="17" spans="1:14" x14ac:dyDescent="0.3">
      <c r="A17" t="s">
        <v>522</v>
      </c>
      <c r="B17">
        <v>357.3</v>
      </c>
      <c r="C17">
        <v>2730</v>
      </c>
      <c r="D17">
        <v>27.2</v>
      </c>
      <c r="E17">
        <v>2.52</v>
      </c>
      <c r="F17">
        <v>1</v>
      </c>
      <c r="G17">
        <v>24.8</v>
      </c>
      <c r="K17" s="9"/>
      <c r="L17" s="12" t="s">
        <v>570</v>
      </c>
    </row>
    <row r="18" spans="1:14" x14ac:dyDescent="0.3">
      <c r="A18" t="s">
        <v>523</v>
      </c>
      <c r="B18">
        <v>178.9</v>
      </c>
      <c r="C18">
        <v>500</v>
      </c>
      <c r="D18">
        <v>32.6</v>
      </c>
      <c r="E18">
        <v>0.34</v>
      </c>
      <c r="F18">
        <v>0</v>
      </c>
      <c r="G18">
        <v>17</v>
      </c>
      <c r="K18" s="8" t="s">
        <v>569</v>
      </c>
      <c r="L18" s="8">
        <v>44.980895859999997</v>
      </c>
    </row>
    <row r="19" spans="1:14" x14ac:dyDescent="0.3">
      <c r="A19" t="s">
        <v>524</v>
      </c>
      <c r="B19">
        <v>194.9</v>
      </c>
      <c r="C19">
        <v>605</v>
      </c>
      <c r="D19">
        <v>40.1</v>
      </c>
      <c r="E19">
        <v>0.44</v>
      </c>
      <c r="F19">
        <v>1</v>
      </c>
      <c r="G19">
        <v>21</v>
      </c>
      <c r="K19" s="8" t="s">
        <v>503</v>
      </c>
      <c r="L19" s="8">
        <v>6.4338617000000001E-2</v>
      </c>
    </row>
    <row r="20" spans="1:14" x14ac:dyDescent="0.3">
      <c r="A20" t="s">
        <v>525</v>
      </c>
      <c r="B20">
        <v>178.8</v>
      </c>
      <c r="C20">
        <v>694</v>
      </c>
      <c r="D20">
        <v>33.6</v>
      </c>
      <c r="E20">
        <v>0.41</v>
      </c>
      <c r="F20">
        <v>1</v>
      </c>
      <c r="G20">
        <v>31.7</v>
      </c>
      <c r="K20" s="8" t="s">
        <v>1</v>
      </c>
      <c r="L20" s="8">
        <v>1.702331853</v>
      </c>
    </row>
    <row r="21" spans="1:14" x14ac:dyDescent="0.3">
      <c r="A21" t="s">
        <v>526</v>
      </c>
      <c r="B21">
        <v>243.7</v>
      </c>
      <c r="C21">
        <v>1628</v>
      </c>
      <c r="D21">
        <v>30.7</v>
      </c>
      <c r="E21">
        <v>1.34</v>
      </c>
      <c r="F21">
        <v>0</v>
      </c>
      <c r="G21">
        <v>29.4</v>
      </c>
      <c r="K21" s="8" t="s">
        <v>504</v>
      </c>
      <c r="L21" s="8">
        <v>24.688522500000001</v>
      </c>
    </row>
    <row r="22" spans="1:14" ht="15" thickBot="1" x14ac:dyDescent="0.35">
      <c r="A22" t="s">
        <v>527</v>
      </c>
      <c r="B22">
        <v>317.7</v>
      </c>
      <c r="C22">
        <v>2121</v>
      </c>
      <c r="D22">
        <v>30.5</v>
      </c>
      <c r="E22">
        <v>1.66</v>
      </c>
      <c r="F22">
        <v>1</v>
      </c>
      <c r="G22">
        <v>23.1</v>
      </c>
      <c r="K22" s="10" t="s">
        <v>506</v>
      </c>
      <c r="L22" s="10">
        <v>26.145955409999999</v>
      </c>
    </row>
    <row r="23" spans="1:14" x14ac:dyDescent="0.3">
      <c r="A23" t="s">
        <v>528</v>
      </c>
      <c r="B23">
        <v>155.6</v>
      </c>
      <c r="C23">
        <v>587</v>
      </c>
      <c r="D23">
        <v>24.2</v>
      </c>
      <c r="E23">
        <v>0.49</v>
      </c>
      <c r="F23">
        <v>0</v>
      </c>
      <c r="G23">
        <v>22.1</v>
      </c>
    </row>
    <row r="24" spans="1:14" x14ac:dyDescent="0.3">
      <c r="A24" t="s">
        <v>529</v>
      </c>
      <c r="B24">
        <v>211.2</v>
      </c>
      <c r="C24">
        <v>926</v>
      </c>
      <c r="D24">
        <v>36.4</v>
      </c>
      <c r="E24">
        <v>0.86</v>
      </c>
      <c r="F24">
        <v>1</v>
      </c>
      <c r="G24">
        <v>21.9</v>
      </c>
      <c r="K24" t="s">
        <v>567</v>
      </c>
      <c r="L24">
        <v>0.94129866870531997</v>
      </c>
    </row>
    <row r="25" spans="1:14" x14ac:dyDescent="0.3">
      <c r="A25" t="s">
        <v>530</v>
      </c>
      <c r="B25">
        <v>303.39999999999998</v>
      </c>
      <c r="C25">
        <v>2139</v>
      </c>
      <c r="D25">
        <v>31.6</v>
      </c>
      <c r="E25">
        <v>1.77</v>
      </c>
      <c r="F25">
        <v>0</v>
      </c>
      <c r="G25">
        <v>17.600000000000001</v>
      </c>
      <c r="K25" t="s">
        <v>568</v>
      </c>
      <c r="L25">
        <v>0.93702948097479777</v>
      </c>
    </row>
    <row r="26" spans="1:14" x14ac:dyDescent="0.3">
      <c r="A26" t="s">
        <v>531</v>
      </c>
      <c r="B26">
        <v>256.3</v>
      </c>
      <c r="C26">
        <v>1774</v>
      </c>
      <c r="D26">
        <v>31.1</v>
      </c>
      <c r="E26">
        <v>1.36</v>
      </c>
      <c r="F26">
        <v>1</v>
      </c>
      <c r="G26">
        <v>37.9</v>
      </c>
    </row>
    <row r="27" spans="1:14" x14ac:dyDescent="0.3">
      <c r="A27" t="s">
        <v>532</v>
      </c>
      <c r="B27">
        <v>230.5</v>
      </c>
      <c r="C27">
        <v>1377</v>
      </c>
      <c r="D27">
        <v>45</v>
      </c>
      <c r="E27">
        <v>0.93</v>
      </c>
      <c r="F27">
        <v>0</v>
      </c>
      <c r="G27">
        <v>22.4</v>
      </c>
      <c r="L27" s="2" t="s">
        <v>571</v>
      </c>
      <c r="M27" s="2" t="s">
        <v>572</v>
      </c>
      <c r="N27" s="2" t="s">
        <v>577</v>
      </c>
    </row>
    <row r="28" spans="1:14" x14ac:dyDescent="0.3">
      <c r="A28" t="s">
        <v>533</v>
      </c>
      <c r="B28">
        <v>196.7</v>
      </c>
      <c r="C28">
        <v>1328</v>
      </c>
      <c r="D28">
        <v>33.5</v>
      </c>
      <c r="E28">
        <v>1.01</v>
      </c>
      <c r="F28">
        <v>0</v>
      </c>
      <c r="G28">
        <v>34.700000000000003</v>
      </c>
      <c r="K28" s="8" t="s">
        <v>503</v>
      </c>
      <c r="L28" s="11">
        <v>5.5706524144222197E-7</v>
      </c>
      <c r="M28" s="11" t="s">
        <v>573</v>
      </c>
      <c r="N28" t="s">
        <v>578</v>
      </c>
    </row>
    <row r="29" spans="1:14" x14ac:dyDescent="0.3">
      <c r="A29" t="s">
        <v>534</v>
      </c>
      <c r="B29">
        <v>166.3</v>
      </c>
      <c r="C29">
        <v>1068</v>
      </c>
      <c r="D29">
        <v>28.2</v>
      </c>
      <c r="E29">
        <v>0.87</v>
      </c>
      <c r="F29">
        <v>0</v>
      </c>
      <c r="G29">
        <v>37.200000000000003</v>
      </c>
      <c r="K29" s="8" t="s">
        <v>1</v>
      </c>
      <c r="L29">
        <v>1.5200641468156768E-3</v>
      </c>
      <c r="M29" t="s">
        <v>574</v>
      </c>
      <c r="N29" t="s">
        <v>578</v>
      </c>
    </row>
    <row r="30" spans="1:14" x14ac:dyDescent="0.3">
      <c r="A30" t="s">
        <v>535</v>
      </c>
      <c r="B30">
        <v>161.9</v>
      </c>
      <c r="C30">
        <v>1022</v>
      </c>
      <c r="D30">
        <v>29.9</v>
      </c>
      <c r="E30">
        <v>0.57999999999999996</v>
      </c>
      <c r="F30">
        <v>0</v>
      </c>
      <c r="G30">
        <v>33</v>
      </c>
      <c r="K30" s="8" t="s">
        <v>504</v>
      </c>
      <c r="L30">
        <v>8.6024461112277753E-2</v>
      </c>
      <c r="M30" t="s">
        <v>575</v>
      </c>
      <c r="N30" t="s">
        <v>579</v>
      </c>
    </row>
    <row r="31" spans="1:14" ht="15" thickBot="1" x14ac:dyDescent="0.35">
      <c r="A31" t="s">
        <v>536</v>
      </c>
      <c r="B31">
        <v>188.7</v>
      </c>
      <c r="C31">
        <v>953</v>
      </c>
      <c r="D31">
        <v>37.700000000000003</v>
      </c>
      <c r="E31">
        <v>0.97</v>
      </c>
      <c r="F31">
        <v>0</v>
      </c>
      <c r="G31">
        <v>21.5</v>
      </c>
      <c r="K31" s="10" t="s">
        <v>506</v>
      </c>
      <c r="L31" s="4">
        <v>1.05945054547588E-5</v>
      </c>
      <c r="M31" t="s">
        <v>576</v>
      </c>
      <c r="N31" t="s">
        <v>580</v>
      </c>
    </row>
    <row r="32" spans="1:14" x14ac:dyDescent="0.3">
      <c r="A32" t="s">
        <v>537</v>
      </c>
      <c r="B32">
        <v>187.7</v>
      </c>
      <c r="C32">
        <v>1262</v>
      </c>
      <c r="D32">
        <v>32.6</v>
      </c>
      <c r="E32">
        <v>1.23</v>
      </c>
      <c r="F32">
        <v>0</v>
      </c>
      <c r="G32">
        <v>28.2</v>
      </c>
    </row>
    <row r="33" spans="1:7" x14ac:dyDescent="0.3">
      <c r="A33" t="s">
        <v>538</v>
      </c>
      <c r="B33">
        <v>276.10000000000002</v>
      </c>
      <c r="C33">
        <v>2126</v>
      </c>
      <c r="D33">
        <v>24.8</v>
      </c>
      <c r="E33">
        <v>1.95</v>
      </c>
      <c r="F33">
        <v>0</v>
      </c>
      <c r="G33">
        <v>24.8</v>
      </c>
    </row>
    <row r="34" spans="1:7" x14ac:dyDescent="0.3">
      <c r="A34" t="s">
        <v>539</v>
      </c>
      <c r="B34">
        <v>189.3</v>
      </c>
      <c r="C34">
        <v>1061</v>
      </c>
      <c r="D34">
        <v>36.6</v>
      </c>
      <c r="E34">
        <v>1.1100000000000001</v>
      </c>
      <c r="F34">
        <v>0</v>
      </c>
      <c r="G34">
        <v>17.8</v>
      </c>
    </row>
    <row r="35" spans="1:7" x14ac:dyDescent="0.3">
      <c r="A35" t="s">
        <v>540</v>
      </c>
      <c r="B35">
        <v>289.2</v>
      </c>
      <c r="C35">
        <v>2139</v>
      </c>
      <c r="D35">
        <v>28.7</v>
      </c>
      <c r="E35">
        <v>1.45</v>
      </c>
      <c r="F35">
        <v>0</v>
      </c>
      <c r="G35">
        <v>27.6</v>
      </c>
    </row>
    <row r="36" spans="1:7" x14ac:dyDescent="0.3">
      <c r="A36" t="s">
        <v>541</v>
      </c>
      <c r="B36">
        <v>221.4</v>
      </c>
      <c r="C36">
        <v>760</v>
      </c>
      <c r="D36">
        <v>41.4</v>
      </c>
      <c r="E36">
        <v>0.44</v>
      </c>
      <c r="F36">
        <v>1</v>
      </c>
      <c r="G36">
        <v>15.6</v>
      </c>
    </row>
    <row r="37" spans="1:7" x14ac:dyDescent="0.3">
      <c r="A37" t="s">
        <v>542</v>
      </c>
      <c r="B37">
        <v>158.5</v>
      </c>
      <c r="C37">
        <v>950</v>
      </c>
      <c r="D37">
        <v>37.4</v>
      </c>
      <c r="E37">
        <v>0.8</v>
      </c>
      <c r="F37">
        <v>0</v>
      </c>
      <c r="G37">
        <v>34.5</v>
      </c>
    </row>
    <row r="38" spans="1:7" x14ac:dyDescent="0.3">
      <c r="A38" t="s">
        <v>543</v>
      </c>
      <c r="B38">
        <v>158.30000000000001</v>
      </c>
      <c r="C38">
        <v>500</v>
      </c>
      <c r="D38">
        <v>29.8</v>
      </c>
      <c r="E38">
        <v>0.31</v>
      </c>
      <c r="F38">
        <v>1</v>
      </c>
      <c r="G38">
        <v>21.3</v>
      </c>
    </row>
    <row r="39" spans="1:7" x14ac:dyDescent="0.3">
      <c r="A39" t="s">
        <v>544</v>
      </c>
      <c r="B39">
        <v>182.5</v>
      </c>
      <c r="C39">
        <v>672</v>
      </c>
      <c r="D39">
        <v>38.4</v>
      </c>
      <c r="E39">
        <v>0.53</v>
      </c>
      <c r="F39">
        <v>1</v>
      </c>
      <c r="G39">
        <v>26.6</v>
      </c>
    </row>
    <row r="40" spans="1:7" x14ac:dyDescent="0.3">
      <c r="A40" t="s">
        <v>545</v>
      </c>
      <c r="B40">
        <v>214.1</v>
      </c>
      <c r="C40">
        <v>1247</v>
      </c>
      <c r="D40">
        <v>32.299999999999997</v>
      </c>
      <c r="E40">
        <v>1.34</v>
      </c>
      <c r="F40">
        <v>0</v>
      </c>
      <c r="G40">
        <v>27.3</v>
      </c>
    </row>
    <row r="41" spans="1:7" x14ac:dyDescent="0.3">
      <c r="A41" t="s">
        <v>546</v>
      </c>
      <c r="B41">
        <v>500</v>
      </c>
      <c r="C41">
        <v>4933</v>
      </c>
      <c r="D41">
        <v>36.299999999999997</v>
      </c>
      <c r="E41">
        <v>4.1399999999999997</v>
      </c>
      <c r="F41">
        <v>0</v>
      </c>
      <c r="G41">
        <v>22.9</v>
      </c>
    </row>
    <row r="42" spans="1:7" x14ac:dyDescent="0.3">
      <c r="A42" t="s">
        <v>547</v>
      </c>
      <c r="B42">
        <v>140.80000000000001</v>
      </c>
      <c r="C42">
        <v>554</v>
      </c>
      <c r="D42">
        <v>34.4</v>
      </c>
      <c r="E42">
        <v>0.38</v>
      </c>
      <c r="F42">
        <v>1</v>
      </c>
      <c r="G42">
        <v>29.7</v>
      </c>
    </row>
    <row r="43" spans="1:7" x14ac:dyDescent="0.3">
      <c r="A43" t="s">
        <v>548</v>
      </c>
      <c r="B43">
        <v>139.80000000000001</v>
      </c>
      <c r="C43">
        <v>538</v>
      </c>
      <c r="D43">
        <v>27.8</v>
      </c>
      <c r="E43">
        <v>0.71</v>
      </c>
      <c r="F43">
        <v>0</v>
      </c>
      <c r="G43">
        <v>21.2</v>
      </c>
    </row>
    <row r="44" spans="1:7" x14ac:dyDescent="0.3">
      <c r="A44" t="s">
        <v>549</v>
      </c>
      <c r="B44">
        <v>270.8</v>
      </c>
      <c r="C44">
        <v>2123</v>
      </c>
      <c r="D44">
        <v>28.8</v>
      </c>
      <c r="E44">
        <v>1.59</v>
      </c>
      <c r="F44">
        <v>0</v>
      </c>
      <c r="G44">
        <v>32</v>
      </c>
    </row>
    <row r="45" spans="1:7" x14ac:dyDescent="0.3">
      <c r="A45" t="s">
        <v>550</v>
      </c>
      <c r="B45">
        <v>171.9</v>
      </c>
      <c r="C45">
        <v>500</v>
      </c>
      <c r="D45">
        <v>37.1</v>
      </c>
      <c r="E45">
        <v>0.48</v>
      </c>
      <c r="F45">
        <v>0</v>
      </c>
      <c r="G45">
        <v>14.2</v>
      </c>
    </row>
    <row r="46" spans="1:7" x14ac:dyDescent="0.3">
      <c r="A46" t="s">
        <v>551</v>
      </c>
      <c r="B46">
        <v>256.10000000000002</v>
      </c>
      <c r="C46">
        <v>1517</v>
      </c>
      <c r="D46">
        <v>30.3</v>
      </c>
      <c r="E46">
        <v>0.95</v>
      </c>
      <c r="F46">
        <v>1</v>
      </c>
      <c r="G46">
        <v>26</v>
      </c>
    </row>
    <row r="47" spans="1:7" x14ac:dyDescent="0.3">
      <c r="A47" t="s">
        <v>552</v>
      </c>
      <c r="B47">
        <v>240</v>
      </c>
      <c r="C47">
        <v>1987</v>
      </c>
      <c r="D47">
        <v>30</v>
      </c>
      <c r="E47">
        <v>1.36</v>
      </c>
      <c r="F47">
        <v>0</v>
      </c>
      <c r="G47">
        <v>40.5</v>
      </c>
    </row>
    <row r="48" spans="1:7" x14ac:dyDescent="0.3">
      <c r="A48" t="s">
        <v>553</v>
      </c>
      <c r="B48">
        <v>188.4</v>
      </c>
      <c r="C48">
        <v>1090</v>
      </c>
      <c r="D48">
        <v>27.2</v>
      </c>
      <c r="E48">
        <v>1.07</v>
      </c>
      <c r="F48">
        <v>0</v>
      </c>
      <c r="G48">
        <v>17</v>
      </c>
    </row>
    <row r="49" spans="1:7" x14ac:dyDescent="0.3">
      <c r="A49" t="s">
        <v>554</v>
      </c>
      <c r="B49">
        <v>190.4</v>
      </c>
      <c r="C49">
        <v>800</v>
      </c>
      <c r="D49">
        <v>34.1</v>
      </c>
      <c r="E49">
        <v>0.47</v>
      </c>
      <c r="F49">
        <v>1</v>
      </c>
      <c r="G49">
        <v>19.600000000000001</v>
      </c>
    </row>
    <row r="50" spans="1:7" x14ac:dyDescent="0.3">
      <c r="A50" t="s">
        <v>555</v>
      </c>
      <c r="B50">
        <v>220.6</v>
      </c>
      <c r="C50">
        <v>710</v>
      </c>
      <c r="D50">
        <v>42.3</v>
      </c>
      <c r="E50">
        <v>0.65</v>
      </c>
      <c r="F50">
        <v>1</v>
      </c>
      <c r="G50">
        <v>29.1</v>
      </c>
    </row>
    <row r="51" spans="1:7" x14ac:dyDescent="0.3">
      <c r="A51" t="s">
        <v>556</v>
      </c>
      <c r="B51">
        <v>261.5</v>
      </c>
      <c r="C51">
        <v>1969</v>
      </c>
      <c r="D51">
        <v>26.7</v>
      </c>
      <c r="E51">
        <v>1.53</v>
      </c>
      <c r="F51">
        <v>0</v>
      </c>
      <c r="G51">
        <v>26.4</v>
      </c>
    </row>
    <row r="52" spans="1:7" x14ac:dyDescent="0.3">
      <c r="A52" t="s">
        <v>557</v>
      </c>
      <c r="B52">
        <v>214.8</v>
      </c>
      <c r="C52">
        <v>1046</v>
      </c>
      <c r="D52">
        <v>32.1</v>
      </c>
      <c r="E52">
        <v>0.95</v>
      </c>
      <c r="F52">
        <v>0</v>
      </c>
      <c r="G52">
        <v>27.8</v>
      </c>
    </row>
    <row r="53" spans="1:7" x14ac:dyDescent="0.3">
      <c r="A53" t="s">
        <v>558</v>
      </c>
      <c r="B53">
        <v>181.8</v>
      </c>
      <c r="C53">
        <v>590</v>
      </c>
      <c r="D53">
        <v>39.1</v>
      </c>
      <c r="E53">
        <v>0.3</v>
      </c>
      <c r="F53">
        <v>1</v>
      </c>
      <c r="G53">
        <v>28.9</v>
      </c>
    </row>
    <row r="54" spans="1:7" x14ac:dyDescent="0.3">
      <c r="A54" t="s">
        <v>559</v>
      </c>
      <c r="B54">
        <v>246.7</v>
      </c>
      <c r="C54">
        <v>1855</v>
      </c>
      <c r="D54">
        <v>31.6</v>
      </c>
      <c r="E54">
        <v>1.45</v>
      </c>
      <c r="F54">
        <v>0</v>
      </c>
      <c r="G54">
        <v>30.1</v>
      </c>
    </row>
    <row r="55" spans="1:7" x14ac:dyDescent="0.3">
      <c r="A55" t="s">
        <v>560</v>
      </c>
      <c r="B55">
        <v>107.1</v>
      </c>
      <c r="C55">
        <v>500</v>
      </c>
      <c r="D55">
        <v>34.299999999999997</v>
      </c>
      <c r="E55">
        <v>0.33</v>
      </c>
      <c r="F55">
        <v>0</v>
      </c>
      <c r="G55">
        <v>33.9</v>
      </c>
    </row>
    <row r="56" spans="1:7" x14ac:dyDescent="0.3">
      <c r="A56" t="s">
        <v>561</v>
      </c>
      <c r="B56">
        <v>223.1</v>
      </c>
      <c r="C56">
        <v>1885</v>
      </c>
      <c r="D56">
        <v>26.7</v>
      </c>
      <c r="E56">
        <v>1.4</v>
      </c>
      <c r="F56">
        <v>0</v>
      </c>
      <c r="G56">
        <v>28.3</v>
      </c>
    </row>
    <row r="57" spans="1:7" x14ac:dyDescent="0.3">
      <c r="A57" t="s">
        <v>562</v>
      </c>
      <c r="B57">
        <v>171.1</v>
      </c>
      <c r="C57">
        <v>759</v>
      </c>
      <c r="D57">
        <v>34.1</v>
      </c>
      <c r="E57">
        <v>0.48</v>
      </c>
      <c r="F57">
        <v>1</v>
      </c>
      <c r="G57">
        <v>23.1</v>
      </c>
    </row>
    <row r="58" spans="1:7" x14ac:dyDescent="0.3">
      <c r="A58" t="s">
        <v>563</v>
      </c>
      <c r="B58">
        <v>386.1</v>
      </c>
      <c r="C58">
        <v>3136</v>
      </c>
      <c r="D58">
        <v>31.1</v>
      </c>
      <c r="E58">
        <v>2.84</v>
      </c>
      <c r="F58">
        <v>0</v>
      </c>
      <c r="G58">
        <v>30.4</v>
      </c>
    </row>
    <row r="59" spans="1:7" x14ac:dyDescent="0.3">
      <c r="A59" t="s">
        <v>564</v>
      </c>
      <c r="B59">
        <v>187.3</v>
      </c>
      <c r="C59">
        <v>718</v>
      </c>
      <c r="D59">
        <v>36.9</v>
      </c>
      <c r="E59">
        <v>0.67</v>
      </c>
      <c r="F59">
        <v>1</v>
      </c>
      <c r="G59">
        <v>40.200000000000003</v>
      </c>
    </row>
    <row r="60" spans="1:7" x14ac:dyDescent="0.3">
      <c r="A60" t="s">
        <v>565</v>
      </c>
      <c r="B60">
        <v>163.6</v>
      </c>
      <c r="C60">
        <v>558</v>
      </c>
      <c r="D60">
        <v>37.9</v>
      </c>
      <c r="E60">
        <v>0.62</v>
      </c>
      <c r="F60">
        <v>1</v>
      </c>
      <c r="G60">
        <v>23.9</v>
      </c>
    </row>
    <row r="61" spans="1:7" x14ac:dyDescent="0.3">
      <c r="A61" t="s">
        <v>566</v>
      </c>
      <c r="B61">
        <v>188.9</v>
      </c>
      <c r="C61">
        <v>500</v>
      </c>
      <c r="D61">
        <v>44.9</v>
      </c>
      <c r="E61">
        <v>0.43</v>
      </c>
      <c r="F61">
        <v>0</v>
      </c>
      <c r="G61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Part1_Descriptive</vt:lpstr>
      <vt:lpstr>Part2_OneSample</vt:lpstr>
      <vt:lpstr>Part2_TwoSample</vt:lpstr>
      <vt:lpstr>Part4_Regression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spoorthim003@outlook.com</cp:lastModifiedBy>
  <dcterms:created xsi:type="dcterms:W3CDTF">2026-01-20T13:10:56Z</dcterms:created>
  <dcterms:modified xsi:type="dcterms:W3CDTF">2026-03-04T15:17:33Z</dcterms:modified>
</cp:coreProperties>
</file>